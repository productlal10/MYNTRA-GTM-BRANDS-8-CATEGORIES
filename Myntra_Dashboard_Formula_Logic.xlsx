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 KPI Cards" sheetId="1" state="visible" r:id="rId1"/>
    <sheet name="2. Sidebar Filter Logic" sheetId="2" state="visible" r:id="rId2"/>
    <sheet name="3. Pricing Metrics &amp; Charts" sheetId="3" state="visible" r:id="rId3"/>
    <sheet name="4. Brand Cards &amp; Charts" sheetId="4" state="visible" r:id="rId4"/>
    <sheet name="5. Category &amp; Subcategory" sheetId="5" state="visible" r:id="rId5"/>
    <sheet name="6. Inventory &amp; Stock Logic" sheetId="6" state="visible" r:id="rId6"/>
    <sheet name="7. Fabric Color Geographic AI" sheetId="7" state="visible" r:id="rId7"/>
    <sheet name="8. Best Sellers &amp; Product Cards" sheetId="8" state="visible" r:id="rId8"/>
    <sheet name="9. Full API Endpoint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64748B"/>
      <sz val="10"/>
    </font>
    <font>
      <name val="Calibri"/>
      <b val="1"/>
      <color rgb="006366F1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color rgb="001E293B"/>
      <sz val="9"/>
    </font>
    <font>
      <name val="Calibri"/>
      <b val="1"/>
      <color rgb="00F59E0B"/>
      <sz val="11"/>
    </font>
    <font>
      <name val="Calibri"/>
      <b val="1"/>
      <color rgb="008B5CF6"/>
      <sz val="11"/>
    </font>
    <font>
      <name val="Calibri"/>
      <b val="1"/>
      <color rgb="0014B8A6"/>
      <sz val="11"/>
    </font>
    <font>
      <name val="Calibri"/>
      <b val="1"/>
      <color rgb="00EF4444"/>
      <sz val="11"/>
    </font>
    <font>
      <name val="Calibri"/>
      <b val="1"/>
      <color rgb="0064748B"/>
      <sz val="11"/>
    </font>
    <font>
      <name val="Calibri"/>
      <b val="1"/>
      <color rgb="0022C55E"/>
      <sz val="11"/>
    </font>
    <font>
      <name val="Calibri"/>
      <b val="1"/>
      <color rgb="000F172A"/>
      <sz val="11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EDE9FE"/>
      </patternFill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0F9FF"/>
      </patternFill>
    </fill>
    <fill>
      <patternFill patternType="solid">
        <fgColor rgb="00FAFAFA"/>
      </patternFill>
    </fill>
    <fill>
      <patternFill patternType="solid">
        <fgColor rgb="00FEF3C7"/>
      </patternFill>
    </fill>
    <fill>
      <patternFill patternType="solid">
        <fgColor rgb="00FFF1F2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50" customWidth="1" min="4" max="4"/>
    <col width="35" customWidth="1" min="5" max="5"/>
    <col width="28" customWidth="1" min="6" max="6"/>
    <col width="22" customWidth="1" min="7" max="7"/>
    <col width="25" customWidth="1" min="8" max="8"/>
    <col width="20" customWidth="1" min="9" max="9"/>
    <col width="18" customWidth="1" min="10" max="10"/>
  </cols>
  <sheetData>
    <row r="1" ht="36" customHeight="1">
      <c r="A1" s="1" t="inlineStr">
        <is>
          <t>SHEET 1 — OVERVIEW DASHBOARD: KPI CARDS &amp; TOP-ROW METRICS</t>
        </is>
      </c>
    </row>
    <row r="2" ht="18" customHeight="1">
      <c r="A2" s="2" t="inlineStr">
        <is>
          <t>Every card title, its exact SQL formula, and the data field that populates it  |  Source: /api/stats + /api/insights/light</t>
        </is>
      </c>
    </row>
    <row r="4" ht="20" customHeight="1">
      <c r="A4" s="3" t="inlineStr">
        <is>
          <t>▸ SECTION A — TOP ROW KPI CARDS (the 5 big number cards at the top)</t>
        </is>
      </c>
    </row>
    <row r="5">
      <c r="A5" s="4" t="inlineStr">
        <is>
          <t>#</t>
        </is>
      </c>
      <c r="B5" s="4" t="inlineStr">
        <is>
          <t>Card Title (UI Label)</t>
        </is>
      </c>
      <c r="C5" s="4" t="inlineStr">
        <is>
          <t>Value Field</t>
        </is>
      </c>
      <c r="D5" s="4" t="inlineStr">
        <is>
          <t>SQL Formula / Calculation</t>
        </is>
      </c>
      <c r="E5" s="4" t="inlineStr">
        <is>
          <t>Table Used</t>
        </is>
      </c>
      <c r="F5" s="4" t="inlineStr">
        <is>
          <t>Where Clause</t>
        </is>
      </c>
      <c r="G5" s="4" t="inlineStr">
        <is>
          <t>Trend Formula</t>
        </is>
      </c>
      <c r="H5" s="4" t="inlineStr">
        <is>
          <t>Display Format</t>
        </is>
      </c>
      <c r="I5" s="4" t="inlineStr">
        <is>
          <t>API Endpoint</t>
        </is>
      </c>
      <c r="J5" s="4" t="inlineStr">
        <is>
          <t>Notes</t>
        </is>
      </c>
    </row>
    <row r="6" ht="55" customHeight="1">
      <c r="A6" s="5" t="inlineStr">
        <is>
          <t>1</t>
        </is>
      </c>
      <c r="B6" s="5" t="inlineStr">
        <is>
          <t>TOTAL PRODUCTS</t>
        </is>
      </c>
      <c r="C6" s="6" t="inlineStr">
        <is>
          <t>total_products</t>
        </is>
      </c>
      <c r="D6" s="7" t="inlineStr">
        <is>
          <t>COUNT(*) as total_products</t>
        </is>
      </c>
      <c r="E6" s="6" t="inlineStr">
        <is>
          <t>products p</t>
        </is>
      </c>
      <c r="F6" s="6" t="inlineStr">
        <is>
          <t>category IS NOT NULL AND category != ''</t>
        </is>
      </c>
      <c r="G6" s="6" t="inlineStr">
        <is>
          <t>(current_count - prior_snapshot_count) / prior_snapshot_count * 100.0</t>
        </is>
      </c>
      <c r="H6" s="6" t="inlineStr">
        <is>
          <t>Integer, e.g. 64,968</t>
        </is>
      </c>
      <c r="I6" s="6" t="inlineStr">
        <is>
          <t>/api/stats</t>
        </is>
      </c>
      <c r="J6" s="6" t="inlineStr">
        <is>
          <t>Counts ALL rows in products table matching the current filter scope. No dedup by product_id.</t>
        </is>
      </c>
    </row>
    <row r="7" ht="55" customHeight="1">
      <c r="A7" s="8" t="inlineStr">
        <is>
          <t>2</t>
        </is>
      </c>
      <c r="B7" s="8" t="inlineStr">
        <is>
          <t>TOTAL BRANDS</t>
        </is>
      </c>
      <c r="C7" s="9" t="inlineStr">
        <is>
          <t>total_brands</t>
        </is>
      </c>
      <c r="D7" s="7" t="inlineStr">
        <is>
          <t>COUNT(DISTINCT CASE WHEN brand IS NOT NULL AND TRIM(brand) != '' AND LOWER(TRIM(brand)) != 'all' THEN brand END)</t>
        </is>
      </c>
      <c r="E7" s="9" t="inlineStr">
        <is>
          <t>products p</t>
        </is>
      </c>
      <c r="F7" s="9" t="inlineStr">
        <is>
          <t>Same scope filter as total_products</t>
        </is>
      </c>
      <c r="G7" s="9" t="inlineStr">
        <is>
          <t>brands_delta_pct — currently hardcoded NULL (not yet tracked)</t>
        </is>
      </c>
      <c r="H7" s="9" t="inlineStr">
        <is>
          <t>Integer, e.g. 6</t>
        </is>
      </c>
      <c r="I7" s="9" t="inlineStr">
        <is>
          <t>/api/stats</t>
        </is>
      </c>
      <c r="J7" s="9" t="inlineStr">
        <is>
          <t>Counts distinct non-null, non-empty brand names in scope. Excludes rows where brand='all'.</t>
        </is>
      </c>
    </row>
    <row r="8" ht="55" customHeight="1">
      <c r="A8" s="5" t="inlineStr">
        <is>
          <t>3</t>
        </is>
      </c>
      <c r="B8" s="5" t="inlineStr">
        <is>
          <t>IN STOCK</t>
        </is>
      </c>
      <c r="C8" s="6" t="inlineStr">
        <is>
          <t>in_stock</t>
        </is>
      </c>
      <c r="D8" s="7" t="inlineStr">
        <is>
          <t>SUM(CASE WHEN is_in_stock = 1 THEN 1 ELSE 0 END)</t>
        </is>
      </c>
      <c r="E8" s="6" t="inlineStr">
        <is>
          <t>products p</t>
        </is>
      </c>
      <c r="F8" s="6" t="inlineStr">
        <is>
          <t>Same scope filter</t>
        </is>
      </c>
      <c r="G8" s="6" t="inlineStr">
        <is>
          <t>Not tracked separately — derived from total_products</t>
        </is>
      </c>
      <c r="H8" s="6" t="inlineStr">
        <is>
          <t>Integer, e.g. 64,928</t>
        </is>
      </c>
      <c r="I8" s="6" t="inlineStr">
        <is>
          <t>/api/stats</t>
        </is>
      </c>
      <c r="J8" s="6" t="inlineStr">
        <is>
          <t>Counts products where is_in_stock flag = 1. Boolean column set by scraper based on Myntra API available field.</t>
        </is>
      </c>
    </row>
    <row r="9" ht="55" customHeight="1">
      <c r="A9" s="8" t="inlineStr">
        <is>
          <t>4</t>
        </is>
      </c>
      <c r="B9" s="8" t="inlineStr">
        <is>
          <t>IN-STOCK RATE %</t>
        </is>
      </c>
      <c r="C9" s="9" t="inlineStr">
        <is>
          <t>in_stock_percentage</t>
        </is>
      </c>
      <c r="D9" s="7" t="inlineStr">
        <is>
          <t>ROUND((in_stock / total_products) * 100, 1)</t>
        </is>
      </c>
      <c r="E9" s="9" t="inlineStr">
        <is>
          <t>Computed in Python</t>
        </is>
      </c>
      <c r="F9" s="9" t="inlineStr">
        <is>
          <t>N/A — derived from in_stock + total_products</t>
        </is>
      </c>
      <c r="G9" s="9" t="inlineStr">
        <is>
          <t>None</t>
        </is>
      </c>
      <c r="H9" s="9" t="inlineStr">
        <is>
          <t>Percentage, e.g. 99.9%</t>
        </is>
      </c>
      <c r="I9" s="9" t="inlineStr">
        <is>
          <t>/api/insights/light</t>
        </is>
      </c>
      <c r="J9" s="9" t="inlineStr">
        <is>
          <t>If total_products = 0, defaults to 100%. Displayed on the KPI sub-line.</t>
        </is>
      </c>
    </row>
    <row r="10" ht="55" customHeight="1">
      <c r="A10" s="5" t="inlineStr">
        <is>
          <t>5</t>
        </is>
      </c>
      <c r="B10" s="5" t="inlineStr">
        <is>
          <t>AVG SELLING PRICE</t>
        </is>
      </c>
      <c r="C10" s="6" t="inlineStr">
        <is>
          <t>average_price</t>
        </is>
      </c>
      <c r="D10" s="7" t="inlineStr">
        <is>
          <t>ROUND(AVG(selling_price), 2)</t>
        </is>
      </c>
      <c r="E10" s="6" t="inlineStr">
        <is>
          <t>products p</t>
        </is>
      </c>
      <c r="F10" s="6" t="inlineStr">
        <is>
          <t>Same scope filter</t>
        </is>
      </c>
      <c r="G10" s="6" t="inlineStr">
        <is>
          <t>price_delta_pct — currently hardcoded NULL</t>
        </is>
      </c>
      <c r="H10" s="6" t="inlineStr">
        <is>
          <t>Rs. X,XXX</t>
        </is>
      </c>
      <c r="I10" s="6" t="inlineStr">
        <is>
          <t>/api/stats</t>
        </is>
      </c>
      <c r="J10" s="6" t="inlineStr">
        <is>
          <t>Simple mean of selling_price column across all scoped products. Includes zero-price products if any exist.</t>
        </is>
      </c>
    </row>
    <row r="11" ht="55" customHeight="1">
      <c r="A11" s="8" t="inlineStr">
        <is>
          <t>6</t>
        </is>
      </c>
      <c r="B11" s="8" t="inlineStr">
        <is>
          <t>AVG MRP</t>
        </is>
      </c>
      <c r="C11" s="9" t="inlineStr">
        <is>
          <t>average_mrp</t>
        </is>
      </c>
      <c r="D11" s="7" t="inlineStr">
        <is>
          <t>ROUND(AVG(mrp), 2)</t>
        </is>
      </c>
      <c r="E11" s="9" t="inlineStr">
        <is>
          <t>products p</t>
        </is>
      </c>
      <c r="F11" s="9" t="inlineStr">
        <is>
          <t>Same scope filter</t>
        </is>
      </c>
      <c r="G11" s="9" t="inlineStr">
        <is>
          <t>None</t>
        </is>
      </c>
      <c r="H11" s="9" t="inlineStr">
        <is>
          <t>Rs. X,XXX</t>
        </is>
      </c>
      <c r="I11" s="9" t="inlineStr">
        <is>
          <t>/api/stats</t>
        </is>
      </c>
      <c r="J11" s="9" t="inlineStr">
        <is>
          <t>Simple mean of mrp column. Used to compute implied discount anchor.</t>
        </is>
      </c>
    </row>
    <row r="12" ht="55" customHeight="1">
      <c r="A12" s="5" t="inlineStr">
        <is>
          <t>7</t>
        </is>
      </c>
      <c r="B12" s="5" t="inlineStr">
        <is>
          <t>AVG DISCOUNT %</t>
        </is>
      </c>
      <c r="C12" s="6" t="inlineStr">
        <is>
          <t>average_discount</t>
        </is>
      </c>
      <c r="D12" s="7" t="inlineStr">
        <is>
          <t>ROUND(AVG(discount_percentage), 1)</t>
        </is>
      </c>
      <c r="E12" s="6" t="inlineStr">
        <is>
          <t>products p</t>
        </is>
      </c>
      <c r="F12" s="6" t="inlineStr">
        <is>
          <t>Same scope filter</t>
        </is>
      </c>
      <c r="G12" s="6" t="inlineStr">
        <is>
          <t>discount_delta_pct — currently hardcoded NULL</t>
        </is>
      </c>
      <c r="H12" s="6" t="inlineStr">
        <is>
          <t>XX.X%</t>
        </is>
      </c>
      <c r="I12" s="6" t="inlineStr">
        <is>
          <t>/api/stats</t>
        </is>
      </c>
      <c r="J12" s="6" t="inlineStr">
        <is>
          <t>AVG of pre-computed discount_percentage column. Formula in DB: ((mrp - selling_price) / mrp) * 100 stored at scrape time.</t>
        </is>
      </c>
    </row>
    <row r="13" ht="55" customHeight="1">
      <c r="A13" s="8" t="inlineStr">
        <is>
          <t>8</t>
        </is>
      </c>
      <c r="B13" s="8" t="inlineStr">
        <is>
          <t>WAREHOUSE UNITS (Total)</t>
        </is>
      </c>
      <c r="C13" s="9" t="inlineStr">
        <is>
          <t>total_warehouse_units</t>
        </is>
      </c>
      <c r="D13" s="7" t="inlineStr">
        <is>
          <t>SUM(COALESCE(p.current_total_stock, 0)) from products; OR SUM(s.total_stock) from latest daily_inventory_snapshot</t>
        </is>
      </c>
      <c r="E13" s="9" t="inlineStr">
        <is>
          <t>products p OR daily_inventory_snapshots s</t>
        </is>
      </c>
      <c r="F13" s="9" t="inlineStr">
        <is>
          <t>Joined with products p ON s.product_id = p.product_id, filtered to latest snapshot_date</t>
        </is>
      </c>
      <c r="G13" s="9" t="inlineStr">
        <is>
          <t>inventory_delta_pct = (current_units - prior_units) / prior_units * 100</t>
        </is>
      </c>
      <c r="H13" s="9" t="inlineStr">
        <is>
          <t>Integer formatted in Indian style e.g. 1,50,63,403</t>
        </is>
      </c>
      <c r="I13" s="9" t="inlineStr">
        <is>
          <t>/api/stats</t>
        </is>
      </c>
      <c r="J13" s="9" t="inlineStr">
        <is>
          <t>Prefers live current_total_stock from products table. Falls back to latest snapshot if live data unavailable.</t>
        </is>
      </c>
    </row>
    <row r="14" ht="55" customHeight="1">
      <c r="A14" s="5" t="inlineStr">
        <is>
          <t>9</t>
        </is>
      </c>
      <c r="B14" s="5" t="inlineStr">
        <is>
          <t>MYNTRA IN-HOUSE COUNT</t>
        </is>
      </c>
      <c r="C14" s="6" t="inlineStr">
        <is>
          <t>myntra_brands_count</t>
        </is>
      </c>
      <c r="D14" s="7" t="inlineStr">
        <is>
          <t>COUNT(DISTINCT CASE WHEN is_myntra_label = 1 AND brand IS NOT NULL THEN brand END)</t>
        </is>
      </c>
      <c r="E14" s="6" t="inlineStr">
        <is>
          <t>products p</t>
        </is>
      </c>
      <c r="F14" s="6" t="inlineStr">
        <is>
          <t>Same scope filter</t>
        </is>
      </c>
      <c r="G14" s="6" t="inlineStr">
        <is>
          <t>None</t>
        </is>
      </c>
      <c r="H14" s="6" t="inlineStr">
        <is>
          <t>Integer</t>
        </is>
      </c>
      <c r="I14" s="6" t="inlineStr">
        <is>
          <t>/api/stats</t>
        </is>
      </c>
      <c r="J14" s="6" t="inlineStr">
        <is>
          <t>is_myntra_label is a boolean column set by brands.py during scrape. 1 = Myntra private label (HRX, Roadster, etc.)</t>
        </is>
      </c>
    </row>
    <row r="15" ht="55" customHeight="1">
      <c r="A15" s="8" t="inlineStr">
        <is>
          <t>10</t>
        </is>
      </c>
      <c r="B15" s="8" t="inlineStr">
        <is>
          <t>EXTERNAL BRANDS COUNT</t>
        </is>
      </c>
      <c r="C15" s="9" t="inlineStr">
        <is>
          <t>non_myntra_brands_count</t>
        </is>
      </c>
      <c r="D15" s="7" t="inlineStr">
        <is>
          <t>COUNT(DISTINCT CASE WHEN is_myntra_label = 0 AND brand IS NOT NULL THEN brand END)</t>
        </is>
      </c>
      <c r="E15" s="9" t="inlineStr">
        <is>
          <t>products p</t>
        </is>
      </c>
      <c r="F15" s="9" t="inlineStr">
        <is>
          <t>Same scope filter</t>
        </is>
      </c>
      <c r="G15" s="9" t="inlineStr">
        <is>
          <t>None</t>
        </is>
      </c>
      <c r="H15" s="9" t="inlineStr">
        <is>
          <t>Integer</t>
        </is>
      </c>
      <c r="I15" s="9" t="inlineStr">
        <is>
          <t>/api/stats</t>
        </is>
      </c>
      <c r="J15" s="9" t="inlineStr">
        <is>
          <t>0 = external/third-party brand. Shown in the brand type donut as External Brands.</t>
        </is>
      </c>
    </row>
    <row r="17" ht="20" customHeight="1">
      <c r="A17" s="10" t="inlineStr">
        <is>
          <t>▸ SECTION B — TREND BADGES (the +X% delta shown below each KPI card)</t>
        </is>
      </c>
    </row>
    <row r="18">
      <c r="A18" s="4" t="inlineStr">
        <is>
          <t>#</t>
        </is>
      </c>
      <c r="B18" s="4" t="inlineStr">
        <is>
          <t>Badge Label</t>
        </is>
      </c>
      <c r="C18" s="4" t="inlineStr">
        <is>
          <t>Formula</t>
        </is>
      </c>
      <c r="D18" s="4" t="inlineStr">
        <is>
          <t>How It Works</t>
        </is>
      </c>
      <c r="E18" s="4" t="inlineStr">
        <is>
          <t>Data Source</t>
        </is>
      </c>
      <c r="F18" s="4" t="inlineStr">
        <is>
          <t>Prior Reference</t>
        </is>
      </c>
      <c r="G18" s="4" t="inlineStr">
        <is>
          <t>Display</t>
        </is>
      </c>
      <c r="H18" s="4" t="inlineStr">
        <is>
          <t>Colour Logic</t>
        </is>
      </c>
      <c r="I18" s="4" t="inlineStr">
        <is>
          <t>API Field</t>
        </is>
      </c>
      <c r="J18" s="4" t="inlineStr">
        <is>
          <t>Notes</t>
        </is>
      </c>
    </row>
    <row r="19" ht="55" customHeight="1">
      <c r="A19" s="5" t="inlineStr">
        <is>
          <t>1</t>
        </is>
      </c>
      <c r="B19" s="5" t="inlineStr">
        <is>
          <t>Products Delta (e.g. +96.5%)</t>
        </is>
      </c>
      <c r="C19" s="7" t="inlineStr">
        <is>
          <t>(current - prior) / prior * 100</t>
        </is>
      </c>
      <c r="D19" s="6" t="inlineStr">
        <is>
          <t>Compares current total_products vs COUNT(*) from daily_inventory_snapshots at prior snapshot_date</t>
        </is>
      </c>
      <c r="E19" s="6" t="inlineStr">
        <is>
          <t>daily_inventory_snapshots JOIN products</t>
        </is>
      </c>
      <c r="F19" s="6" t="inlineStr">
        <is>
          <t>Second-most-recent DISTINCT snapshot_date</t>
        </is>
      </c>
      <c r="G19" s="6" t="inlineStr">
        <is>
          <t>±XX.X%</t>
        </is>
      </c>
      <c r="H19" s="6" t="inlineStr">
        <is>
          <t>Green = positive, Red = negative, Grey dash = NULL</t>
        </is>
      </c>
      <c r="I19" s="6" t="inlineStr">
        <is>
          <t>trends.products_delta_pct</t>
        </is>
      </c>
      <c r="J19" s="6" t="inlineStr">
        <is>
          <t>Prior snapshot count is from daily_inventory_snapshots.snapshot_date. If only 1 snapshot date exists, delta = NULL.</t>
        </is>
      </c>
    </row>
    <row r="20" ht="55" customHeight="1">
      <c r="A20" s="8" t="inlineStr">
        <is>
          <t>2</t>
        </is>
      </c>
      <c r="B20" s="8" t="inlineStr">
        <is>
          <t>Inventory Delta (e.g. +158.6%)</t>
        </is>
      </c>
      <c r="C20" s="7" t="inlineStr">
        <is>
          <t>(current_units - prior_units) / prior_units * 100</t>
        </is>
      </c>
      <c r="D20" s="9" t="inlineStr">
        <is>
          <t>SUM(s.total_stock) at latest snapshot vs SUM(s.total_stock) at prior snapshot date</t>
        </is>
      </c>
      <c r="E20" s="9" t="inlineStr">
        <is>
          <t>daily_inventory_snapshots</t>
        </is>
      </c>
      <c r="F20" s="9" t="inlineStr">
        <is>
          <t>Snapshot before the latest one</t>
        </is>
      </c>
      <c r="G20" s="9" t="inlineStr">
        <is>
          <t>±XX.X%</t>
        </is>
      </c>
      <c r="H20" s="9" t="inlineStr">
        <is>
          <t>Green = up, Red = down</t>
        </is>
      </c>
      <c r="I20" s="9" t="inlineStr">
        <is>
          <t>trends.inventory_delta_pct</t>
        </is>
      </c>
      <c r="J20" s="9" t="inlineStr">
        <is>
          <t>Warehouse units comparison — not product count. Measures stock replenishment activity.</t>
        </is>
      </c>
    </row>
    <row r="21" ht="55" customHeight="1">
      <c r="A21" s="5" t="inlineStr">
        <is>
          <t>3</t>
        </is>
      </c>
      <c r="B21" s="5" t="inlineStr">
        <is>
          <t>Price Delta</t>
        </is>
      </c>
      <c r="C21" s="7" t="inlineStr">
        <is>
          <t>NOT YET TRACKED</t>
        </is>
      </c>
      <c r="D21" s="6" t="inlineStr">
        <is>
          <t>Currently hardcoded to NULL in server.py</t>
        </is>
      </c>
      <c r="E21" s="6" t="inlineStr">
        <is>
          <t>N/A</t>
        </is>
      </c>
      <c r="F21" s="6" t="inlineStr">
        <is>
          <t>N/A</t>
        </is>
      </c>
      <c r="G21" s="6" t="inlineStr">
        <is>
          <t>— (dash)</t>
        </is>
      </c>
      <c r="H21" s="6" t="inlineStr">
        <is>
          <t>Always grey/neutral</t>
        </is>
      </c>
      <c r="I21" s="6" t="inlineStr">
        <is>
          <t>trends.price_delta_pct</t>
        </is>
      </c>
      <c r="J21" s="6" t="inlineStr">
        <is>
          <t>price_delta_pct is always None. Future implementation: compare AVG(selling_price) across snapshots.</t>
        </is>
      </c>
    </row>
    <row r="22" ht="55" customHeight="1">
      <c r="A22" s="8" t="inlineStr">
        <is>
          <t>4</t>
        </is>
      </c>
      <c r="B22" s="8" t="inlineStr">
        <is>
          <t>Discount Delta</t>
        </is>
      </c>
      <c r="C22" s="7" t="inlineStr">
        <is>
          <t>NOT YET TRACKED</t>
        </is>
      </c>
      <c r="D22" s="9" t="inlineStr">
        <is>
          <t>Currently hardcoded to NULL in server.py</t>
        </is>
      </c>
      <c r="E22" s="9" t="inlineStr">
        <is>
          <t>N/A</t>
        </is>
      </c>
      <c r="F22" s="9" t="inlineStr">
        <is>
          <t>N/A</t>
        </is>
      </c>
      <c r="G22" s="9" t="inlineStr">
        <is>
          <t>— (dash)</t>
        </is>
      </c>
      <c r="H22" s="9" t="inlineStr">
        <is>
          <t>Always grey/neutral</t>
        </is>
      </c>
      <c r="I22" s="9" t="inlineStr">
        <is>
          <t>trends.discount_delta_pct</t>
        </is>
      </c>
      <c r="J22" s="9" t="inlineStr">
        <is>
          <t>Always None. No historical AVG(discount_percentage) comparison implemented yet.</t>
        </is>
      </c>
    </row>
    <row r="23" ht="55" customHeight="1">
      <c r="A23" s="5" t="inlineStr">
        <is>
          <t>5</t>
        </is>
      </c>
      <c r="B23" s="5" t="inlineStr">
        <is>
          <t>Brands Delta</t>
        </is>
      </c>
      <c r="C23" s="7" t="inlineStr">
        <is>
          <t>NOT YET TRACKED</t>
        </is>
      </c>
      <c r="D23" s="6" t="inlineStr">
        <is>
          <t>Currently hardcoded to NULL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— (dash)</t>
        </is>
      </c>
      <c r="H23" s="6" t="inlineStr">
        <is>
          <t>Always grey/neutral</t>
        </is>
      </c>
      <c r="I23" s="6" t="inlineStr">
        <is>
          <t>trends.brands_delta_pct</t>
        </is>
      </c>
      <c r="J23" s="6" t="inlineStr">
        <is>
          <t>Always None. Historical brand count not stored in snapshots.</t>
        </is>
      </c>
    </row>
    <row r="24" ht="55" customHeight="1">
      <c r="A24" s="8" t="inlineStr">
        <is>
          <t>6</t>
        </is>
      </c>
      <c r="B24" s="8" t="inlineStr">
        <is>
          <t>Snapshot Label (comparison reference)</t>
        </is>
      </c>
      <c r="C24" s="7" t="inlineStr">
        <is>
          <t>_format_date_label(prior_snapshot_date)</t>
        </is>
      </c>
      <c r="D24" s="9" t="inlineStr">
        <is>
          <t>Fetches 2 most recent DISTINCT snapshot_dates from daily_inventory_snapshots. Uses the second one as the 'prior' reference.</t>
        </is>
      </c>
      <c r="E24" s="9" t="inlineStr">
        <is>
          <t>daily_inventory_snapshots</t>
        </is>
      </c>
      <c r="F24" s="9" t="inlineStr">
        <is>
          <t>SELECT DISTINCT snapshot_date ORDER BY DESC LIMIT 2</t>
        </is>
      </c>
      <c r="G24" s="9" t="inlineStr">
        <is>
          <t>e.g. 'Sep 29, 2026 at 02:46 PM'</t>
        </is>
      </c>
      <c r="H24" s="9" t="inlineStr">
        <is>
          <t>N/A — just a text label</t>
        </is>
      </c>
      <c r="I24" s="9" t="inlineStr">
        <is>
          <t>growth_comparison_label</t>
        </is>
      </c>
      <c r="J24" s="9" t="inlineStr">
        <is>
          <t>If &lt; 2 snapshots exist, all delta fields = NULL and no comparison label is shown.</t>
        </is>
      </c>
    </row>
  </sheetData>
  <mergeCells count="4">
    <mergeCell ref="A17:J17"/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50" customWidth="1" min="4" max="4"/>
    <col width="30" customWidth="1" min="5" max="5"/>
    <col width="28" customWidth="1" min="6" max="6"/>
    <col width="22" customWidth="1" min="7" max="7"/>
    <col width="22" customWidth="1" min="8" max="8"/>
    <col width="20" customWidth="1" min="9" max="9"/>
    <col width="18" customWidth="1" min="10" max="10"/>
  </cols>
  <sheetData>
    <row r="1" ht="36" customHeight="1">
      <c r="A1" s="1" t="inlineStr">
        <is>
          <t>SHEET 2 — LEFT SIDEBAR: EVERY FILTER PANEL, ITS SQL LOGIC &amp; EFFECT ON DATA</t>
        </is>
      </c>
    </row>
    <row r="2" ht="18" customHeight="1">
      <c r="A2" s="2" t="inlineStr">
        <is>
          <t>Brand Intelligence Filters sidebar — complete logic for each dropdown, input, and toggle  |  Source: _build_cto_scope() in server.py</t>
        </is>
      </c>
    </row>
    <row r="4" ht="20" customHeight="1">
      <c r="A4" s="11" t="inlineStr">
        <is>
          <t>▸ SECTION A — SIDEBAR FILTER ELEMENTS (what each filter does to the SQL WHERE clause)</t>
        </is>
      </c>
    </row>
    <row r="5">
      <c r="A5" s="4" t="inlineStr">
        <is>
          <t>#</t>
        </is>
      </c>
      <c r="B5" s="4" t="inlineStr">
        <is>
          <t>Filter Name (UI Label)</t>
        </is>
      </c>
      <c r="C5" s="4" t="inlineStr">
        <is>
          <t>Input Type</t>
        </is>
      </c>
      <c r="D5" s="4" t="inlineStr">
        <is>
          <t>SQL WHERE Clause Added</t>
        </is>
      </c>
      <c r="E5" s="4" t="inlineStr">
        <is>
          <t>Table Column</t>
        </is>
      </c>
      <c r="F5" s="4" t="inlineStr">
        <is>
          <t>Default</t>
        </is>
      </c>
      <c r="G5" s="4" t="inlineStr">
        <is>
          <t>Options / Values</t>
        </is>
      </c>
      <c r="H5" s="4" t="inlineStr">
        <is>
          <t>Behaviour</t>
        </is>
      </c>
      <c r="I5" s="4" t="inlineStr">
        <is>
          <t>API Param</t>
        </is>
      </c>
      <c r="J5" s="4" t="inlineStr">
        <is>
          <t>Notes</t>
        </is>
      </c>
    </row>
    <row r="6" ht="60" customHeight="1">
      <c r="A6" s="5" t="inlineStr">
        <is>
          <t>1</t>
        </is>
      </c>
      <c r="B6" s="5" t="inlineStr">
        <is>
          <t>Category</t>
        </is>
      </c>
      <c r="C6" s="6" t="inlineStr">
        <is>
          <t>Dropdown — All Categories</t>
        </is>
      </c>
      <c r="D6" s="7" t="inlineStr">
        <is>
          <t>LOWER(p.category) = ? OR (LOWER(p.category) LIKE ? OR REPLACE(LOWER(p.sub_category), '-', ' ') LIKE ?)</t>
        </is>
      </c>
      <c r="E6" s="6" t="inlineStr">
        <is>
          <t>p.category, p.sub_category</t>
        </is>
      </c>
      <c r="F6" s="6" t="inlineStr">
        <is>
          <t>All (empty = no filter, shows all with category NOT NULL)</t>
        </is>
      </c>
      <c r="G6" s="6" t="inlineStr">
        <is>
          <t>All Categories + each unique category in DB</t>
        </is>
      </c>
      <c r="H6" s="6" t="inlineStr">
        <is>
          <t>Fuzzy match: normalises dashes to spaces, lowercases both sides</t>
        </is>
      </c>
      <c r="I6" s="6" t="inlineStr">
        <is>
          <t>category</t>
        </is>
      </c>
      <c r="J6" s="6" t="inlineStr">
        <is>
          <t>If blank or 'all', adds: category IS NOT NULL AND category != '' (excludes uncategorised products)</t>
        </is>
      </c>
    </row>
    <row r="7" ht="60" customHeight="1">
      <c r="A7" s="8" t="inlineStr">
        <is>
          <t>2</t>
        </is>
      </c>
      <c r="B7" s="8" t="inlineStr">
        <is>
          <t>Subcategory</t>
        </is>
      </c>
      <c r="C7" s="9" t="inlineStr">
        <is>
          <t>Dropdown — All Subcategories</t>
        </is>
      </c>
      <c r="D7" s="7" t="inlineStr">
        <is>
          <t>REPLACE(LOWER(p.sub_category), '-', ' ') = ? OR REPLACE(LOWER(p.sub_category), '-', ' ') LIKE ?</t>
        </is>
      </c>
      <c r="E7" s="9" t="inlineStr">
        <is>
          <t>p.sub_category</t>
        </is>
      </c>
      <c r="F7" s="9" t="inlineStr">
        <is>
          <t>All Subcategories (no filter)</t>
        </is>
      </c>
      <c r="G7" s="9" t="inlineStr">
        <is>
          <t>Dynamic — loaded via /api/insights/facets based on current Category + Brand + other filters</t>
        </is>
      </c>
      <c r="H7" s="9" t="inlineStr">
        <is>
          <t>Exact match first, then LIKE fallback. Dashes normalised to spaces.</t>
        </is>
      </c>
      <c r="I7" s="9" t="inlineStr">
        <is>
          <t>subcategory</t>
        </is>
      </c>
      <c r="J7" s="9" t="inlineStr">
        <is>
          <t>Options change dynamically when Category filter changes. Loaded via scheduleCTOFacetsLoad().</t>
        </is>
      </c>
    </row>
    <row r="8" ht="60" customHeight="1">
      <c r="A8" s="5" t="inlineStr">
        <is>
          <t>3</t>
        </is>
      </c>
      <c r="B8" s="5" t="inlineStr">
        <is>
          <t>Gender</t>
        </is>
      </c>
      <c r="C8" s="6" t="inlineStr">
        <is>
          <t>Dropdown — All Genders</t>
        </is>
      </c>
      <c r="D8" s="7" t="inlineStr">
        <is>
          <t>p.gender = 'Men'  OR  p.gender = 'Women'  OR  p.gender IN ('Kids','Boys','Girls','Unisex Kids')</t>
        </is>
      </c>
      <c r="E8" s="6" t="inlineStr">
        <is>
          <t>p.gender</t>
        </is>
      </c>
      <c r="F8" s="6" t="inlineStr">
        <is>
          <t>All (no filter)</t>
        </is>
      </c>
      <c r="G8" s="6" t="inlineStr">
        <is>
          <t>All / Men / Women / Kids</t>
        </is>
      </c>
      <c r="H8" s="6" t="inlineStr">
        <is>
          <t>Men = exact 'Men'. Women = exact 'Women'. Kids = IN list including Boys, Girls, Unisex Kids.</t>
        </is>
      </c>
      <c r="I8" s="6" t="inlineStr">
        <is>
          <t>gender</t>
        </is>
      </c>
      <c r="J8" s="6" t="inlineStr">
        <is>
          <t>Gender values are stored as-scraped from Myntra. Exact match, case-sensitive to stored values.</t>
        </is>
      </c>
    </row>
    <row r="9" ht="60" customHeight="1">
      <c r="A9" s="8" t="inlineStr">
        <is>
          <t>4</t>
        </is>
      </c>
      <c r="B9" s="8" t="inlineStr">
        <is>
          <t>Brand Type</t>
        </is>
      </c>
      <c r="C9" s="9" t="inlineStr">
        <is>
          <t>Dropdown — All Brands</t>
        </is>
      </c>
      <c r="D9" s="7" t="inlineStr">
        <is>
          <t>p.is_myntra_label = 1  (Myntra)  OR  p.is_myntra_label = 0  (External)</t>
        </is>
      </c>
      <c r="E9" s="9" t="inlineStr">
        <is>
          <t>p.is_myntra_label</t>
        </is>
      </c>
      <c r="F9" s="9" t="inlineStr">
        <is>
          <t>All Brands (no filter)</t>
        </is>
      </c>
      <c r="G9" s="9" t="inlineStr">
        <is>
          <t>All Brands / Myntra In-House Labels / External Brands</t>
        </is>
      </c>
      <c r="H9" s="9" t="inlineStr">
        <is>
          <t>Boolean filter. is_myntra_label set by brands.py at scrape time based on brand name lookup.</t>
        </is>
      </c>
      <c r="I9" s="9" t="inlineStr">
        <is>
          <t>brand_type</t>
        </is>
      </c>
      <c r="J9" s="9" t="inlineStr">
        <is>
          <t>Myntra labels include: HRX, Roadster, All About You, Anouk, Dressberry, etc. Defined in brands.py MYNTRA_LABELS list.</t>
        </is>
      </c>
    </row>
    <row r="10" ht="60" customHeight="1">
      <c r="A10" s="5" t="inlineStr">
        <is>
          <t>5</t>
        </is>
      </c>
      <c r="B10" s="5" t="inlineStr">
        <is>
          <t>Price Range Min</t>
        </is>
      </c>
      <c r="C10" s="6" t="inlineStr">
        <is>
          <t>Number input — Min Rs.</t>
        </is>
      </c>
      <c r="D10" s="7" t="inlineStr">
        <is>
          <t>p.selling_price &gt;= ?</t>
        </is>
      </c>
      <c r="E10" s="6" t="inlineStr">
        <is>
          <t>p.selling_price</t>
        </is>
      </c>
      <c r="F10" s="6" t="inlineStr">
        <is>
          <t>Empty (no min filter)</t>
        </is>
      </c>
      <c r="G10" s="6" t="inlineStr">
        <is>
          <t>User-entered number</t>
        </is>
      </c>
      <c r="H10" s="6" t="inlineStr">
        <is>
          <t>Casts to float. Ignores if not a valid number.</t>
        </is>
      </c>
      <c r="I10" s="6" t="inlineStr">
        <is>
          <t>price_min</t>
        </is>
      </c>
      <c r="J10" s="6" t="inlineStr">
        <is>
          <t>Combined with price_max to create a range filter. Uses selling_price (NOT mrp).</t>
        </is>
      </c>
    </row>
    <row r="11" ht="60" customHeight="1">
      <c r="A11" s="8" t="inlineStr">
        <is>
          <t>6</t>
        </is>
      </c>
      <c r="B11" s="8" t="inlineStr">
        <is>
          <t>Price Range Max</t>
        </is>
      </c>
      <c r="C11" s="9" t="inlineStr">
        <is>
          <t>Number input — Max Rs.</t>
        </is>
      </c>
      <c r="D11" s="7" t="inlineStr">
        <is>
          <t>p.selling_price &lt;= ?</t>
        </is>
      </c>
      <c r="E11" s="9" t="inlineStr">
        <is>
          <t>p.selling_price</t>
        </is>
      </c>
      <c r="F11" s="9" t="inlineStr">
        <is>
          <t>Empty (no max filter)</t>
        </is>
      </c>
      <c r="G11" s="9" t="inlineStr">
        <is>
          <t>User-entered number</t>
        </is>
      </c>
      <c r="H11" s="9" t="inlineStr">
        <is>
          <t>Casts to float. Ignores if not a valid number.</t>
        </is>
      </c>
      <c r="I11" s="9" t="inlineStr">
        <is>
          <t>price_max</t>
        </is>
      </c>
      <c r="J11" s="9" t="inlineStr">
        <is>
          <t>The 'Scope median' hint shown next to the slider is the Median Price from /api/insights/light cto_pricing.median_price.</t>
        </is>
      </c>
    </row>
    <row r="12" ht="60" customHeight="1">
      <c r="A12" s="5" t="inlineStr">
        <is>
          <t>7</t>
        </is>
      </c>
      <c r="B12" s="5" t="inlineStr">
        <is>
          <t>Brand Search</t>
        </is>
      </c>
      <c r="C12" s="6" t="inlineStr">
        <is>
          <t>Text search input</t>
        </is>
      </c>
      <c r="D12" s="7" t="inlineStr">
        <is>
          <t>p.brand = ? (exact match after user selects from dropdown list)</t>
        </is>
      </c>
      <c r="E12" s="6" t="inlineStr">
        <is>
          <t>p.brand</t>
        </is>
      </c>
      <c r="F12" s="6" t="inlineStr">
        <is>
          <t>Empty (no brand filter)</t>
        </is>
      </c>
      <c r="G12" s="6" t="inlineStr">
        <is>
          <t>Dynamic brand list loaded from /api/insights/facets — shows all brands in current scope</t>
        </is>
      </c>
      <c r="H12" s="6" t="inlineStr">
        <is>
          <t>User types to filter the list. Selecting a brand sets it as an exact match filter.</t>
        </is>
      </c>
      <c r="I12" s="6" t="inlineStr">
        <is>
          <t>brand</t>
        </is>
      </c>
      <c r="J12" s="6" t="inlineStr">
        <is>
          <t>Brand list sorted alphabetically and by count. Loads via /api/brands/facets endpoint. Shows count per brand.</t>
        </is>
      </c>
    </row>
    <row r="13" ht="60" customHeight="1">
      <c r="A13" s="8" t="inlineStr">
        <is>
          <t>8</t>
        </is>
      </c>
      <c r="B13" s="8" t="inlineStr">
        <is>
          <t>Brand Scale Tier</t>
        </is>
      </c>
      <c r="C13" s="9" t="inlineStr">
        <is>
          <t>Dropdown — All Scales</t>
        </is>
      </c>
      <c r="D13" s="7" t="inlineStr">
        <is>
          <t>p.brand IN (SELECT bp.brand FROM products bp WHERE [scope] GROUP BY bp.brand HAVING COUNT(*) &gt;= 200)  [for 'largest']</t>
        </is>
      </c>
      <c r="E13" s="9" t="inlineStr">
        <is>
          <t>p.brand (subquery on products)</t>
        </is>
      </c>
      <c r="F13" s="9" t="inlineStr">
        <is>
          <t>All Scales (no filter)</t>
        </is>
      </c>
      <c r="G13" s="9" t="inlineStr">
        <is>
          <t>All Scales / Largest Brands (&gt;=200 SKUs) / Mid-Tier (100-199 SKUs) / Small / Emerging (&lt;100 SKUs)</t>
        </is>
      </c>
      <c r="H13" s="9" t="inlineStr">
        <is>
          <t>Subquery: groups products by brand, counts SKUs, then filters by HAVING COUNT(*) against threshold. Thresholds: LARGE=200, MID=100.</t>
        </is>
      </c>
      <c r="I13" s="9" t="inlineStr">
        <is>
          <t>brand_scale</t>
        </is>
      </c>
      <c r="J13" s="9" t="inlineStr">
        <is>
          <t>LARGE_BRAND_MIN_PRODUCTS = 200 (constant). MID_BRAND_MIN_PRODUCTS = 100 (constant). These are hardcoded in server.py line 122-123.</t>
        </is>
      </c>
    </row>
    <row r="14" ht="60" customHeight="1">
      <c r="A14" s="5" t="inlineStr">
        <is>
          <t>9</t>
        </is>
      </c>
      <c r="B14" s="5" t="inlineStr">
        <is>
          <t>Brand Matrix Sorting</t>
        </is>
      </c>
      <c r="C14" s="6" t="inlineStr">
        <is>
          <t>Dropdown (sort mode for brand table only)</t>
        </is>
      </c>
      <c r="D14" s="7" t="inlineStr">
        <is>
          <t>No WHERE clause change — only affects ORDER BY in /api/brands endpoint</t>
        </is>
      </c>
      <c r="E14" s="6" t="inlineStr">
        <is>
          <t>N/A</t>
        </is>
      </c>
      <c r="F14" s="6" t="inlineStr">
        <is>
          <t>Inventory Valuation (High -&gt; Low)</t>
        </is>
      </c>
      <c r="G14" s="6" t="inlineStr">
        <is>
          <t>Inventory Valuation / Product Count / Avg Price / Avg Discount / Avg Rating</t>
        </is>
      </c>
      <c r="H14" s="6" t="inlineStr">
        <is>
          <t>Changes the sort order of the brand directory table, not the data scope.</t>
        </is>
      </c>
      <c r="I14" s="6" t="inlineStr">
        <is>
          <t>sort_by</t>
        </is>
      </c>
      <c r="J14" s="6" t="inlineStr">
        <is>
          <t>Sort options: valuation_desc, count_desc, price_desc, price_asc, discount_desc, rating_desc. Applied in /api/brands endpoint only.</t>
        </is>
      </c>
    </row>
    <row r="15" ht="60" customHeight="1">
      <c r="A15" s="8" t="inlineStr">
        <is>
          <t>10</t>
        </is>
      </c>
      <c r="B15" s="8" t="inlineStr">
        <is>
          <t>0 Brands in current scope</t>
        </is>
      </c>
      <c r="C15" s="9" t="inlineStr">
        <is>
          <t>Display count (not a filter)</t>
        </is>
      </c>
      <c r="D15" s="7" t="inlineStr">
        <is>
          <t>N/A — display only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Shows COUNT(DISTINCT brand) from /api/stats total_brands field. Updates live when filters change.</t>
        </is>
      </c>
      <c r="I15" s="9" t="inlineStr">
        <is>
          <t>total_brands</t>
        </is>
      </c>
      <c r="J15" s="9" t="inlineStr">
        <is>
          <t>This is the updateCTOScopeCount() JS function. Shows the brand count from the current /api/stats response.</t>
        </is>
      </c>
    </row>
    <row r="16" ht="60" customHeight="1">
      <c r="A16" s="5" t="inlineStr">
        <is>
          <t>11</t>
        </is>
      </c>
      <c r="B16" s="5" t="inlineStr">
        <is>
          <t>Active Filters row</t>
        </is>
      </c>
      <c r="C16" s="6" t="inlineStr">
        <is>
          <t>Badge display (not a filter)</t>
        </is>
      </c>
      <c r="D16" s="7" t="inlineStr">
        <is>
          <t>N/A — shows active filter state</t>
        </is>
      </c>
      <c r="E16" s="6" t="inlineStr">
        <is>
          <t>N/A</t>
        </is>
      </c>
      <c r="F16" s="6" t="inlineStr">
        <is>
          <t>No filters applied yet</t>
        </is>
      </c>
      <c r="G16" s="6" t="inlineStr">
        <is>
          <t>N/A</t>
        </is>
      </c>
      <c r="H16" s="6" t="inlineStr">
        <is>
          <t>Each active filter adds a badge. Clicking X removes that filter. Built by buildCTOFilterBadge() in app.js.</t>
        </is>
      </c>
      <c r="I16" s="6" t="inlineStr">
        <is>
          <t>N/A</t>
        </is>
      </c>
      <c r="J16" s="6" t="inlineStr">
        <is>
          <t>Reads filter state from UI elements (dropdowns, inputs). Re-reads on every Apply Filters click.</t>
        </is>
      </c>
    </row>
    <row r="17" ht="60" customHeight="1">
      <c r="A17" s="8" t="inlineStr">
        <is>
          <t>12</t>
        </is>
      </c>
      <c r="B17" s="8" t="inlineStr">
        <is>
          <t>Apply Filters button</t>
        </is>
      </c>
      <c r="C17" s="9" t="inlineStr">
        <is>
          <t>Button — triggers full reload</t>
        </is>
      </c>
      <c r="D17" s="7" t="inlineStr">
        <is>
          <t>Triggers fetchStatsAndInsights() which re-calls /api/stats + /api/insights/light + /api/insights</t>
        </is>
      </c>
      <c r="E17" s="9" t="inlineStr">
        <is>
          <t>All endpoints</t>
        </is>
      </c>
      <c r="F17" s="9" t="inlineStr">
        <is>
          <t>N/A</t>
        </is>
      </c>
      <c r="G17" s="9" t="inlineStr">
        <is>
          <t>N/A</t>
        </is>
      </c>
      <c r="H17" s="9" t="inlineStr">
        <is>
          <t>Debounced 120ms. Builds CTO query string from current filter state, calls all 3 API endpoints in sequence.</t>
        </is>
      </c>
      <c r="I17" s="9" t="inlineStr">
        <is>
          <t>N/A</t>
        </is>
      </c>
      <c r="J17" s="9" t="inlineStr">
        <is>
          <t>Reset All clears all filter inputs to default and re-triggers the same load sequence.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30" customWidth="1" min="5" max="5"/>
    <col width="28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3 — PRICING INTELLIGENCE: EVERY PRICING METRIC, FORMULA &amp; CHART</t>
        </is>
      </c>
    </row>
    <row r="2" ht="18" customHeight="1">
      <c r="A2" s="2" t="inlineStr">
        <is>
          <t>CTO Pricing section: Median, Mean, Mode, P25, P75, IQR, Price Bands, Discount Distribution  |  Source: /api/insights/light + /api/insights</t>
        </is>
      </c>
    </row>
    <row r="4" ht="20" customHeight="1">
      <c r="A4" s="12" t="inlineStr">
        <is>
          <t>▸ SECTION A — CTO PRICING METRICS PANEL (the 6-metric pricing card)</t>
        </is>
      </c>
    </row>
    <row r="5">
      <c r="A5" s="4" t="inlineStr">
        <is>
          <t>#</t>
        </is>
      </c>
      <c r="B5" s="4" t="inlineStr">
        <is>
          <t>Metric Name (UI)</t>
        </is>
      </c>
      <c r="C5" s="4" t="inlineStr">
        <is>
          <t>Field</t>
        </is>
      </c>
      <c r="D5" s="4" t="inlineStr">
        <is>
          <t>SQL / Calculation Formula</t>
        </is>
      </c>
      <c r="E5" s="4" t="inlineStr">
        <is>
          <t>Method</t>
        </is>
      </c>
      <c r="F5" s="4" t="inlineStr">
        <is>
          <t>DB Table</t>
        </is>
      </c>
      <c r="G5" s="4" t="inlineStr">
        <is>
          <t>Fallback Logic</t>
        </is>
      </c>
      <c r="H5" s="4" t="inlineStr">
        <is>
          <t>Display</t>
        </is>
      </c>
      <c r="I5" s="4" t="inlineStr">
        <is>
          <t>API</t>
        </is>
      </c>
      <c r="J5" s="4" t="inlineStr">
        <is>
          <t>Notes</t>
        </is>
      </c>
    </row>
    <row r="6" ht="55" customHeight="1">
      <c r="A6" s="5" t="inlineStr">
        <is>
          <t>1</t>
        </is>
      </c>
      <c r="B6" s="5" t="inlineStr">
        <is>
          <t>Median Price (Rs.)</t>
        </is>
      </c>
      <c r="C6" s="6" t="inlineStr">
        <is>
          <t>cto_pricing.median_price</t>
        </is>
      </c>
      <c r="D6" s="7" t="inlineStr">
        <is>
          <t>PERCENTILE_CONT(0.5) WITHIN GROUP (ORDER BY p.selling_price)</t>
        </is>
      </c>
      <c r="E6" s="6" t="inlineStr">
        <is>
          <t>Exact SQL percentile (preferred). Fallback: Python sort of sample_prices, take index at len*0.5.</t>
        </is>
      </c>
      <c r="F6" s="6" t="inlineStr">
        <is>
          <t>products p</t>
        </is>
      </c>
      <c r="G6" s="6" t="inlineStr">
        <is>
          <t>If DB doesn't support PERCENTILE_CONT or total_products &gt; large_threshold: use price_brackets to approximate midpoint of median bracket.</t>
        </is>
      </c>
      <c r="H6" s="6" t="inlineStr">
        <is>
          <t>Rs. 1,895</t>
        </is>
      </c>
      <c r="I6" s="6" t="inlineStr">
        <is>
          <t>cto_pricing</t>
        </is>
      </c>
      <c r="J6" s="6" t="inlineStr">
        <is>
          <t>True statistical median. Half of products priced above this, half below.</t>
        </is>
      </c>
    </row>
    <row r="7" ht="55" customHeight="1">
      <c r="A7" s="8" t="inlineStr">
        <is>
          <t>2</t>
        </is>
      </c>
      <c r="B7" s="8" t="inlineStr">
        <is>
          <t>Mean Price (Rs.)</t>
        </is>
      </c>
      <c r="C7" s="9" t="inlineStr">
        <is>
          <t>cto_pricing.mean_price</t>
        </is>
      </c>
      <c r="D7" s="7" t="inlineStr">
        <is>
          <t>AVG(p.selling_price) — same as average_price in /api/stats but re-computed for precision</t>
        </is>
      </c>
      <c r="E7" s="9" t="inlineStr">
        <is>
          <t>SQL AVG() over all in-scope products with selling_price &gt; 0.</t>
        </is>
      </c>
      <c r="F7" s="9" t="inlineStr">
        <is>
          <t>products p</t>
        </is>
      </c>
      <c r="G7" s="9" t="inlineStr">
        <is>
          <t>Falls back to avg_price from the combined query if CTO pricing query fails.</t>
        </is>
      </c>
      <c r="H7" s="9" t="inlineStr">
        <is>
          <t>Rs. 2,199</t>
        </is>
      </c>
      <c r="I7" s="9" t="inlineStr">
        <is>
          <t>cto_pricing</t>
        </is>
      </c>
      <c r="J7" s="9" t="inlineStr">
        <is>
          <t>Arithmetic mean. Will be higher than median when premium SKUs exist (right-skewed distribution).</t>
        </is>
      </c>
    </row>
    <row r="8" ht="55" customHeight="1">
      <c r="A8" s="5" t="inlineStr">
        <is>
          <t>3</t>
        </is>
      </c>
      <c r="B8" s="5" t="inlineStr">
        <is>
          <t>Mode Price (Rs.)</t>
        </is>
      </c>
      <c r="C8" s="6" t="inlineStr">
        <is>
          <t>cto_pricing.mode_price</t>
        </is>
      </c>
      <c r="D8" s="7" t="inlineStr">
        <is>
          <t>MODE() WITHIN GROUP (ORDER BY p.selling_price) — most frequently occurring price value</t>
        </is>
      </c>
      <c r="E8" s="6" t="inlineStr">
        <is>
          <t>Exact SQL MODE() (preferred). Fallback: max weighted bracket midpoint from price_brackets.</t>
        </is>
      </c>
      <c r="F8" s="6" t="inlineStr">
        <is>
          <t>products p</t>
        </is>
      </c>
      <c r="G8" s="6" t="inlineStr">
        <is>
          <t>If MODE() fails: finds the price bracket with most products, takes its midpoint as mode proxy.</t>
        </is>
      </c>
      <c r="H8" s="6" t="inlineStr">
        <is>
          <t>Rs. 1,499</t>
        </is>
      </c>
      <c r="I8" s="6" t="inlineStr">
        <is>
          <t>cto_pricing</t>
        </is>
      </c>
      <c r="J8" s="6" t="inlineStr">
        <is>
          <t>Most common listed price. Rs. 1,499 is very common on Myntra as a psychological price point.</t>
        </is>
      </c>
    </row>
    <row r="9" ht="55" customHeight="1">
      <c r="A9" s="8" t="inlineStr">
        <is>
          <t>4</t>
        </is>
      </c>
      <c r="B9" s="8" t="inlineStr">
        <is>
          <t>P25 Price (Rs.)</t>
        </is>
      </c>
      <c r="C9" s="9" t="inlineStr">
        <is>
          <t>cto_pricing.p25_price</t>
        </is>
      </c>
      <c r="D9" s="7" t="inlineStr">
        <is>
          <t>PERCENTILE_CONT(0.25) WITHIN GROUP (ORDER BY p.selling_price)</t>
        </is>
      </c>
      <c r="E9" s="9" t="inlineStr">
        <is>
          <t>Exact 25th percentile. Fallback: sample_prices sorted array, index at len*0.25.</t>
        </is>
      </c>
      <c r="F9" s="9" t="inlineStr">
        <is>
          <t>products p</t>
        </is>
      </c>
      <c r="G9" s="9" t="inlineStr">
        <is>
          <t>Same bracket approximation fallback as median.</t>
        </is>
      </c>
      <c r="H9" s="9" t="inlineStr">
        <is>
          <t>Rs. 1,349</t>
        </is>
      </c>
      <c r="I9" s="9" t="inlineStr">
        <is>
          <t>cto_pricing</t>
        </is>
      </c>
      <c r="J9" s="9" t="inlineStr">
        <is>
          <t>25% of products in scope cost less than this price. Represents the budget tier threshold.</t>
        </is>
      </c>
    </row>
    <row r="10" ht="55" customHeight="1">
      <c r="A10" s="5" t="inlineStr">
        <is>
          <t>5</t>
        </is>
      </c>
      <c r="B10" s="5" t="inlineStr">
        <is>
          <t>P75 Price (Rs.)</t>
        </is>
      </c>
      <c r="C10" s="6" t="inlineStr">
        <is>
          <t>cto_pricing.p75_price</t>
        </is>
      </c>
      <c r="D10" s="7" t="inlineStr">
        <is>
          <t>PERCENTILE_CONT(0.75) WITHIN GROUP (ORDER BY p.selling_price)</t>
        </is>
      </c>
      <c r="E10" s="6" t="inlineStr">
        <is>
          <t>Exact 75th percentile. Fallback: sample_prices array index at len*0.75.</t>
        </is>
      </c>
      <c r="F10" s="6" t="inlineStr">
        <is>
          <t>products p</t>
        </is>
      </c>
      <c r="G10" s="6" t="inlineStr">
        <is>
          <t>Same bracket approximation fallback.</t>
        </is>
      </c>
      <c r="H10" s="6" t="inlineStr">
        <is>
          <t>Rs. 2,744</t>
        </is>
      </c>
      <c r="I10" s="6" t="inlineStr">
        <is>
          <t>cto_pricing</t>
        </is>
      </c>
      <c r="J10" s="6" t="inlineStr">
        <is>
          <t>75% of products cost less than this. Represents the premium tier entry point.</t>
        </is>
      </c>
    </row>
    <row r="11" ht="55" customHeight="1">
      <c r="A11" s="8" t="inlineStr">
        <is>
          <t>6</t>
        </is>
      </c>
      <c r="B11" s="8" t="inlineStr">
        <is>
          <t>IQR (Price Spread)</t>
        </is>
      </c>
      <c r="C11" s="9" t="inlineStr">
        <is>
          <t>Computed in JS: p75_price - p25_price</t>
        </is>
      </c>
      <c r="D11" s="7" t="inlineStr">
        <is>
          <t>IQR = P75 - P25  (Interquartile Range)</t>
        </is>
      </c>
      <c r="E11" s="9" t="inlineStr">
        <is>
          <t>Client-side JS subtraction. Not a backend field — computed in renderCTOPricingMetrics() in app.js.</t>
        </is>
      </c>
      <c r="F11" s="9" t="inlineStr">
        <is>
          <t>N/A — derived from P25 and P75 values in response</t>
        </is>
      </c>
      <c r="G11" s="9" t="inlineStr">
        <is>
          <t>N/A</t>
        </is>
      </c>
      <c r="H11" s="9" t="inlineStr">
        <is>
          <t>Rs. 1,395 (e.g. 2,744 - 1,349)</t>
        </is>
      </c>
      <c r="I11" s="9" t="inlineStr">
        <is>
          <t>cto_pricing</t>
        </is>
      </c>
      <c r="J11" s="9" t="inlineStr">
        <is>
          <t>Wide IQR = broad price strategy (budget to premium). Narrow IQR = focused segment positioning.</t>
        </is>
      </c>
    </row>
    <row r="12" ht="55" customHeight="1">
      <c r="A12" s="5" t="inlineStr">
        <is>
          <t>7</t>
        </is>
      </c>
      <c r="B12" s="5" t="inlineStr">
        <is>
          <t>Mean MRP (Rs.)</t>
        </is>
      </c>
      <c r="C12" s="6" t="inlineStr">
        <is>
          <t>cto_pricing.mean_mrp</t>
        </is>
      </c>
      <c r="D12" s="7" t="inlineStr">
        <is>
          <t>AVG(p.mrp) over scoped products</t>
        </is>
      </c>
      <c r="E12" s="6" t="inlineStr">
        <is>
          <t>SQL AVG(mrp)</t>
        </is>
      </c>
      <c r="F12" s="6" t="inlineStr">
        <is>
          <t>products p</t>
        </is>
      </c>
      <c r="G12" s="6" t="inlineStr">
        <is>
          <t>Falls back to avg_mrp_val from combined query.</t>
        </is>
      </c>
      <c r="H12" s="6" t="inlineStr">
        <is>
          <t>Rs. 3,584</t>
        </is>
      </c>
      <c r="I12" s="6" t="inlineStr">
        <is>
          <t>cto_pricing</t>
        </is>
      </c>
      <c r="J12" s="6" t="inlineStr">
        <is>
          <t>Average Maximum Retail Price. Used to show discount anchoring. Not directly displayed in basic UI but available for brand comparisons.</t>
        </is>
      </c>
    </row>
    <row r="14" ht="20" customHeight="1">
      <c r="A14" s="10" t="inlineStr">
        <is>
          <t>▸ SECTION B — PRICE BAND BAR CHART (5 buckets)</t>
        </is>
      </c>
    </row>
    <row r="15">
      <c r="A15" s="4" t="inlineStr">
        <is>
          <t>#</t>
        </is>
      </c>
      <c r="B15" s="4" t="inlineStr">
        <is>
          <t>Band Label</t>
        </is>
      </c>
      <c r="C15" s="4" t="inlineStr">
        <is>
          <t>SQL Expression</t>
        </is>
      </c>
      <c r="D15" s="4" t="inlineStr">
        <is>
          <t>Threshold Logic</t>
        </is>
      </c>
      <c r="E15" s="4" t="inlineStr">
        <is>
          <t>Count Field</t>
        </is>
      </c>
      <c r="F15" s="4" t="inlineStr">
        <is>
          <t>Chart Type</t>
        </is>
      </c>
      <c r="G15" s="4" t="inlineStr">
        <is>
          <t>X-Axis</t>
        </is>
      </c>
      <c r="H15" s="4" t="inlineStr">
        <is>
          <t>Y-Axis</t>
        </is>
      </c>
      <c r="I15" s="4" t="inlineStr">
        <is>
          <t>API Field</t>
        </is>
      </c>
      <c r="J15" s="4" t="inlineStr">
        <is>
          <t>Notes</t>
        </is>
      </c>
    </row>
    <row r="16" ht="40" customHeight="1">
      <c r="A16" s="5" t="inlineStr">
        <is>
          <t>1</t>
        </is>
      </c>
      <c r="B16" s="5" t="inlineStr">
        <is>
          <t>&lt; Rs.500</t>
        </is>
      </c>
      <c r="C16" s="7" t="inlineStr">
        <is>
          <t>SUM(CASE WHEN selling_price &lt; 500 THEN 1 ELSE 0 END)</t>
        </is>
      </c>
      <c r="D16" s="6" t="inlineStr">
        <is>
          <t>selling_price &lt; 500</t>
        </is>
      </c>
      <c r="E16" s="6" t="inlineStr">
        <is>
          <t>price_brackets.under_500</t>
        </is>
      </c>
      <c r="F16" s="6" t="inlineStr">
        <is>
          <t>Horizontal Bar</t>
        </is>
      </c>
      <c r="G16" s="6" t="inlineStr">
        <is>
          <t>Product Count</t>
        </is>
      </c>
      <c r="H16" s="6" t="inlineStr">
        <is>
          <t>Price Band</t>
        </is>
      </c>
      <c r="I16" s="6" t="inlineStr">
        <is>
          <t>price_band_distribution[0].count</t>
        </is>
      </c>
      <c r="J16" s="6" t="inlineStr">
        <is>
          <t>Ultra-budget tier. Mostly accessories/basics.</t>
        </is>
      </c>
    </row>
    <row r="17" ht="40" customHeight="1">
      <c r="A17" s="8" t="inlineStr">
        <is>
          <t>2</t>
        </is>
      </c>
      <c r="B17" s="8" t="inlineStr">
        <is>
          <t>Rs.500 - 1K</t>
        </is>
      </c>
      <c r="C17" s="7" t="inlineStr">
        <is>
          <t>SUM(CASE WHEN selling_price &gt;= 500 AND selling_price &lt; 1000 THEN 1 ELSE 0 END)</t>
        </is>
      </c>
      <c r="D17" s="9" t="inlineStr">
        <is>
          <t>500 &lt;= selling_price &lt; 1000</t>
        </is>
      </c>
      <c r="E17" s="9" t="inlineStr">
        <is>
          <t>price_brackets.500_to_1000</t>
        </is>
      </c>
      <c r="F17" s="9" t="inlineStr">
        <is>
          <t>Horizontal Bar</t>
        </is>
      </c>
      <c r="G17" s="9" t="inlineStr">
        <is>
          <t>Product Count</t>
        </is>
      </c>
      <c r="H17" s="9" t="inlineStr">
        <is>
          <t>Price Band</t>
        </is>
      </c>
      <c r="I17" s="9" t="inlineStr">
        <is>
          <t>price_band_distribution[1].count</t>
        </is>
      </c>
      <c r="J17" s="9" t="inlineStr">
        <is>
          <t>Budget tier. Dominant for Kids and Value segments.</t>
        </is>
      </c>
    </row>
    <row r="18" ht="40" customHeight="1">
      <c r="A18" s="5" t="inlineStr">
        <is>
          <t>3</t>
        </is>
      </c>
      <c r="B18" s="5" t="inlineStr">
        <is>
          <t>Rs.1K - 2K</t>
        </is>
      </c>
      <c r="C18" s="7" t="inlineStr">
        <is>
          <t>SUM(CASE WHEN selling_price &gt;= 1000 AND selling_price &lt; 2000 THEN 1 ELSE 0 END)</t>
        </is>
      </c>
      <c r="D18" s="6" t="inlineStr">
        <is>
          <t>1000 &lt;= selling_price &lt; 2000</t>
        </is>
      </c>
      <c r="E18" s="6" t="inlineStr">
        <is>
          <t>price_brackets.1000_to_2000</t>
        </is>
      </c>
      <c r="F18" s="6" t="inlineStr">
        <is>
          <t>Horizontal Bar</t>
        </is>
      </c>
      <c r="G18" s="6" t="inlineStr">
        <is>
          <t>Product Count</t>
        </is>
      </c>
      <c r="H18" s="6" t="inlineStr">
        <is>
          <t>Price Band</t>
        </is>
      </c>
      <c r="I18" s="6" t="inlineStr">
        <is>
          <t>price_band_distribution[2].count</t>
        </is>
      </c>
      <c r="J18" s="6" t="inlineStr">
        <is>
          <t>Mid-market tier. Usually dominant tier for Western/Shirts.</t>
        </is>
      </c>
    </row>
    <row r="19" ht="40" customHeight="1">
      <c r="A19" s="8" t="inlineStr">
        <is>
          <t>4</t>
        </is>
      </c>
      <c r="B19" s="8" t="inlineStr">
        <is>
          <t>Rs.2K - 3.5K</t>
        </is>
      </c>
      <c r="C19" s="7" t="inlineStr">
        <is>
          <t>SUM(CASE WHEN selling_price &gt;= 2000 AND selling_price &lt; 3500 THEN 1 ELSE 0 END)</t>
        </is>
      </c>
      <c r="D19" s="9" t="inlineStr">
        <is>
          <t>2000 &lt;= selling_price &lt; 3500</t>
        </is>
      </c>
      <c r="E19" s="9" t="inlineStr">
        <is>
          <t>price_brackets.2000_to_3500</t>
        </is>
      </c>
      <c r="F19" s="9" t="inlineStr">
        <is>
          <t>Horizontal Bar</t>
        </is>
      </c>
      <c r="G19" s="9" t="inlineStr">
        <is>
          <t>Product Count</t>
        </is>
      </c>
      <c r="H19" s="9" t="inlineStr">
        <is>
          <t>Price Band</t>
        </is>
      </c>
      <c r="I19" s="9" t="inlineStr">
        <is>
          <t>price_band_distribution[3].count</t>
        </is>
      </c>
      <c r="J19" s="9" t="inlineStr">
        <is>
          <t>Upper mid / aspirational. International brands land here.</t>
        </is>
      </c>
    </row>
    <row r="20" ht="40" customHeight="1">
      <c r="A20" s="5" t="inlineStr">
        <is>
          <t>5</t>
        </is>
      </c>
      <c r="B20" s="5" t="inlineStr">
        <is>
          <t>&gt; Rs.3.5K</t>
        </is>
      </c>
      <c r="C20" s="7" t="inlineStr">
        <is>
          <t>SUM(CASE WHEN selling_price &gt;= 3500 THEN 1 ELSE 0 END)</t>
        </is>
      </c>
      <c r="D20" s="6" t="inlineStr">
        <is>
          <t>selling_price &gt;= 3500</t>
        </is>
      </c>
      <c r="E20" s="6" t="inlineStr">
        <is>
          <t>price_brackets.above_3500</t>
        </is>
      </c>
      <c r="F20" s="6" t="inlineStr">
        <is>
          <t>Horizontal Bar</t>
        </is>
      </c>
      <c r="G20" s="6" t="inlineStr">
        <is>
          <t>Product Count</t>
        </is>
      </c>
      <c r="H20" s="6" t="inlineStr">
        <is>
          <t>Price Band</t>
        </is>
      </c>
      <c r="I20" s="6" t="inlineStr">
        <is>
          <t>price_band_distribution[4].count</t>
        </is>
      </c>
      <c r="J20" s="6" t="inlineStr">
        <is>
          <t>Premium tier. Designer / international labels.</t>
        </is>
      </c>
    </row>
    <row r="22" ht="20" customHeight="1">
      <c r="A22" s="13" t="inlineStr">
        <is>
          <t>▸ SECTION C — DISCOUNT DISTRIBUTION CHART (5 discount depth buckets)</t>
        </is>
      </c>
    </row>
    <row r="23">
      <c r="A23" s="4" t="inlineStr">
        <is>
          <t>#</t>
        </is>
      </c>
      <c r="B23" s="4" t="inlineStr">
        <is>
          <t>Bucket Label</t>
        </is>
      </c>
      <c r="C23" s="4" t="inlineStr">
        <is>
          <t>SQL Expression</t>
        </is>
      </c>
      <c r="D23" s="4" t="inlineStr">
        <is>
          <t>Threshold Logic</t>
        </is>
      </c>
      <c r="E23" s="4" t="inlineStr">
        <is>
          <t>Count Field</t>
        </is>
      </c>
      <c r="F23" s="4" t="inlineStr">
        <is>
          <t>Chart Type</t>
        </is>
      </c>
      <c r="G23" s="4" t="inlineStr">
        <is>
          <t>Meaning</t>
        </is>
      </c>
      <c r="H23" s="4" t="inlineStr">
        <is>
          <t>API Field</t>
        </is>
      </c>
      <c r="I23" s="4" t="inlineStr">
        <is>
          <t>Source Endpoint</t>
        </is>
      </c>
      <c r="J23" s="4" t="inlineStr">
        <is>
          <t>Notes</t>
        </is>
      </c>
    </row>
    <row r="24" ht="45" customHeight="1">
      <c r="A24" s="5" t="inlineStr">
        <is>
          <t>1</t>
        </is>
      </c>
      <c r="B24" s="5" t="inlineStr">
        <is>
          <t>Super Deep (&gt;=80%)</t>
        </is>
      </c>
      <c r="C24" s="7" t="inlineStr">
        <is>
          <t>SUM(CASE WHEN discount_percentage &gt;= 80 THEN 1 ELSE 0 END)</t>
        </is>
      </c>
      <c r="D24" s="6" t="inlineStr">
        <is>
          <t>discount_percentage &gt;= 80</t>
        </is>
      </c>
      <c r="E24" s="6" t="inlineStr">
        <is>
          <t>discount_insights.super_deep_80_plus</t>
        </is>
      </c>
      <c r="F24" s="6" t="inlineStr">
        <is>
          <t>Bar/Donut</t>
        </is>
      </c>
      <c r="G24" s="6" t="inlineStr">
        <is>
          <t>Extreme clearance. Often end-of-season or overstocked items.</t>
        </is>
      </c>
      <c r="H24" s="6" t="inlineStr">
        <is>
          <t>discount_insights.super_deep_80_plus</t>
        </is>
      </c>
      <c r="I24" s="6" t="inlineStr">
        <is>
          <t>/api/insights</t>
        </is>
      </c>
      <c r="J24" s="6" t="inlineStr">
        <is>
          <t>discount_percentage stored as ((mrp-selling_price)/mrp)*100 at scrape time.</t>
        </is>
      </c>
    </row>
    <row r="25" ht="45" customHeight="1">
      <c r="A25" s="8" t="inlineStr">
        <is>
          <t>2</t>
        </is>
      </c>
      <c r="B25" s="8" t="inlineStr">
        <is>
          <t>Deep Disc (60-80%)</t>
        </is>
      </c>
      <c r="C25" s="7" t="inlineStr">
        <is>
          <t>SUM(CASE WHEN discount_percentage &gt;= 60 AND discount_percentage &lt; 80 THEN 1 ELSE 0 END)</t>
        </is>
      </c>
      <c r="D25" s="9" t="inlineStr">
        <is>
          <t>60 &lt;= disc &lt; 80</t>
        </is>
      </c>
      <c r="E25" s="9" t="inlineStr">
        <is>
          <t>discount_insights.deep_discount_60_to_80</t>
        </is>
      </c>
      <c r="F25" s="9" t="inlineStr">
        <is>
          <t>Bar/Donut</t>
        </is>
      </c>
      <c r="G25" s="9" t="inlineStr">
        <is>
          <t>Heavy promotional activity. Watch this segment for brand health.</t>
        </is>
      </c>
      <c r="H25" s="9" t="inlineStr">
        <is>
          <t>discount_insights.deep_discount_60_to_80</t>
        </is>
      </c>
      <c r="I25" s="9" t="inlineStr">
        <is>
          <t>/api/insights</t>
        </is>
      </c>
      <c r="J25" s="9" t="inlineStr">
        <is>
          <t>High discount = margin pressure. Myntra regularly runs 60-70% sale events.</t>
        </is>
      </c>
    </row>
    <row r="26" ht="45" customHeight="1">
      <c r="A26" s="5" t="inlineStr">
        <is>
          <t>3</t>
        </is>
      </c>
      <c r="B26" s="5" t="inlineStr">
        <is>
          <t>Moderate (40-60%)</t>
        </is>
      </c>
      <c r="C26" s="7" t="inlineStr">
        <is>
          <t>SUM(CASE WHEN discount_percentage &gt;= 40 AND discount_percentage &lt; 60 THEN 1 ELSE 0 END)</t>
        </is>
      </c>
      <c r="D26" s="6" t="inlineStr">
        <is>
          <t>40 &lt;= disc &lt; 60</t>
        </is>
      </c>
      <c r="E26" s="6" t="inlineStr">
        <is>
          <t>discount_insights.moderate_40_to_60</t>
        </is>
      </c>
      <c r="F26" s="6" t="inlineStr">
        <is>
          <t>Bar/Donut</t>
        </is>
      </c>
      <c r="G26" s="6" t="inlineStr">
        <is>
          <t>Common everyday discounting range for mass-market brands.</t>
        </is>
      </c>
      <c r="H26" s="6" t="inlineStr">
        <is>
          <t>discount_insights.moderate_40_to_60</t>
        </is>
      </c>
      <c r="I26" s="6" t="inlineStr">
        <is>
          <t>/api/insights</t>
        </is>
      </c>
      <c r="J26" s="6" t="inlineStr">
        <is>
          <t>This is the 'sweet spot' for most fast-fashion brands on Myntra.</t>
        </is>
      </c>
    </row>
    <row r="27" ht="45" customHeight="1">
      <c r="A27" s="8" t="inlineStr">
        <is>
          <t>4</t>
        </is>
      </c>
      <c r="B27" s="8" t="inlineStr">
        <is>
          <t>Mild (20-40%)</t>
        </is>
      </c>
      <c r="C27" s="7" t="inlineStr">
        <is>
          <t>SUM(CASE WHEN discount_percentage &gt;= 20 AND discount_percentage &lt; 40 THEN 1 ELSE 0 END)</t>
        </is>
      </c>
      <c r="D27" s="9" t="inlineStr">
        <is>
          <t>20 &lt;= disc &lt; 40</t>
        </is>
      </c>
      <c r="E27" s="9" t="inlineStr">
        <is>
          <t>discount_insights.mild_20_to_40</t>
        </is>
      </c>
      <c r="F27" s="9" t="inlineStr">
        <is>
          <t>Bar/Donut</t>
        </is>
      </c>
      <c r="G27" s="9" t="inlineStr">
        <is>
          <t>Standard promotional depth. Typical for mid-market brands.</t>
        </is>
      </c>
      <c r="H27" s="9" t="inlineStr">
        <is>
          <t>discount_insights.mild_20_to_40</t>
        </is>
      </c>
      <c r="I27" s="9" t="inlineStr">
        <is>
          <t>/api/insights</t>
        </is>
      </c>
      <c r="J27" s="9" t="inlineStr">
        <is>
          <t>Most healthy brands target the 20-35% range to maintain margins.</t>
        </is>
      </c>
    </row>
    <row r="28" ht="45" customHeight="1">
      <c r="A28" s="5" t="inlineStr">
        <is>
          <t>5</t>
        </is>
      </c>
      <c r="B28" s="5" t="inlineStr">
        <is>
          <t>Regular (&lt;20%)</t>
        </is>
      </c>
      <c r="C28" s="7" t="inlineStr">
        <is>
          <t>SUM(CASE WHEN discount_percentage &lt; 20 THEN 1 ELSE 0 END)</t>
        </is>
      </c>
      <c r="D28" s="6" t="inlineStr">
        <is>
          <t>discount_percentage &lt; 20</t>
        </is>
      </c>
      <c r="E28" s="6" t="inlineStr">
        <is>
          <t>discount_insights.regular_under_20</t>
        </is>
      </c>
      <c r="F28" s="6" t="inlineStr">
        <is>
          <t>Bar/Donut</t>
        </is>
      </c>
      <c r="G28" s="6" t="inlineStr">
        <is>
          <t>Minimal discounting. Premium / new arrivals / full-price selling.</t>
        </is>
      </c>
      <c r="H28" s="6" t="inlineStr">
        <is>
          <t>discount_insights.regular_under_20</t>
        </is>
      </c>
      <c r="I28" s="6" t="inlineStr">
        <is>
          <t>/api/insights</t>
        </is>
      </c>
      <c r="J28" s="6" t="inlineStr">
        <is>
          <t>Luxury or premium-positioned brands stay here deliberately.</t>
        </is>
      </c>
    </row>
  </sheetData>
  <mergeCells count="5">
    <mergeCell ref="A1:J1"/>
    <mergeCell ref="A14:J14"/>
    <mergeCell ref="A22:J22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30" customWidth="1" min="5" max="5"/>
    <col width="25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4 — BRAND INTELLIGENCE: CARDS, TABLES, DONUT, SCALE BREAKDOWN</t>
        </is>
      </c>
    </row>
    <row r="2" ht="18" customHeight="1">
      <c r="A2" s="2" t="inlineStr">
        <is>
          <t>Every brand metric, its exact SQL, and how it renders in the UI  |  Source: /api/insights + /api/brands</t>
        </is>
      </c>
    </row>
    <row r="4" ht="20" customHeight="1">
      <c r="A4" s="3" t="inlineStr">
        <is>
          <t>▸ SECTION A — BRAND TYPE DONUT CHART (Myntra In-House vs External)</t>
        </is>
      </c>
    </row>
    <row r="5">
      <c r="A5" s="4" t="inlineStr">
        <is>
          <t>#</t>
        </is>
      </c>
      <c r="B5" s="4" t="inlineStr">
        <is>
          <t>Metric</t>
        </is>
      </c>
      <c r="C5" s="4" t="inlineStr">
        <is>
          <t>SQL Formula</t>
        </is>
      </c>
      <c r="D5" s="4" t="inlineStr">
        <is>
          <t>Field</t>
        </is>
      </c>
      <c r="E5" s="4" t="inlineStr">
        <is>
          <t>Source</t>
        </is>
      </c>
      <c r="F5" s="4" t="inlineStr">
        <is>
          <t>Display</t>
        </is>
      </c>
      <c r="G5" s="4" t="inlineStr">
        <is>
          <t>Chart Type</t>
        </is>
      </c>
      <c r="H5" s="4" t="inlineStr">
        <is>
          <t>Colour</t>
        </is>
      </c>
      <c r="I5" s="4" t="inlineStr">
        <is>
          <t>API</t>
        </is>
      </c>
      <c r="J5" s="4" t="inlineStr">
        <is>
          <t>Notes</t>
        </is>
      </c>
    </row>
    <row r="6" ht="45" customHeight="1">
      <c r="A6" s="5" t="inlineStr">
        <is>
          <t>1</t>
        </is>
      </c>
      <c r="B6" s="5" t="inlineStr">
        <is>
          <t>Myntra In-House Products</t>
        </is>
      </c>
      <c r="C6" s="7" t="inlineStr">
        <is>
          <t>SUM(CASE WHEN is_myntra_label = 1 THEN 1 ELSE 0 END)</t>
        </is>
      </c>
      <c r="D6" s="6" t="inlineStr">
        <is>
          <t>brand_mix.in_house.count</t>
        </is>
      </c>
      <c r="E6" s="6" t="inlineStr">
        <is>
          <t>/api/insights</t>
        </is>
      </c>
      <c r="F6" s="6" t="inlineStr">
        <is>
          <t>X products, XX%</t>
        </is>
      </c>
      <c r="G6" s="6" t="inlineStr">
        <is>
          <t>Donut Slice</t>
        </is>
      </c>
      <c r="H6" s="6" t="inlineStr">
        <is>
          <t>Brand colour (dark)</t>
        </is>
      </c>
      <c r="I6" s="6" t="inlineStr">
        <is>
          <t>brand_mix_data.in_house</t>
        </is>
      </c>
      <c r="J6" s="6" t="inlineStr">
        <is>
          <t>is_myntra_label = 1 for HRX, Roadster, All About You, Dressberry, Anouk, Mast &amp; Harbour, etc.</t>
        </is>
      </c>
    </row>
    <row r="7" ht="45" customHeight="1">
      <c r="A7" s="8" t="inlineStr">
        <is>
          <t>2</t>
        </is>
      </c>
      <c r="B7" s="8" t="inlineStr">
        <is>
          <t>External Brand Products</t>
        </is>
      </c>
      <c r="C7" s="7" t="inlineStr">
        <is>
          <t>SUM(CASE WHEN is_myntra_label = 0 THEN 1 ELSE 0 END)</t>
        </is>
      </c>
      <c r="D7" s="9" t="inlineStr">
        <is>
          <t>brand_mix.external.count</t>
        </is>
      </c>
      <c r="E7" s="9" t="inlineStr">
        <is>
          <t>/api/insights</t>
        </is>
      </c>
      <c r="F7" s="9" t="inlineStr">
        <is>
          <t>X products, XX%</t>
        </is>
      </c>
      <c r="G7" s="9" t="inlineStr">
        <is>
          <t>Donut Slice</t>
        </is>
      </c>
      <c r="H7" s="9" t="inlineStr">
        <is>
          <t>Indigo/Blue</t>
        </is>
      </c>
      <c r="I7" s="9" t="inlineStr">
        <is>
          <t>brand_mix_data.external</t>
        </is>
      </c>
      <c r="J7" s="9" t="inlineStr">
        <is>
          <t>All third-party brands. Includes international (H&amp;M, Mango, Zara) and Indian (Van Heusen, Allen Solly).</t>
        </is>
      </c>
    </row>
    <row r="8" ht="45" customHeight="1">
      <c r="A8" s="5" t="inlineStr">
        <is>
          <t>3</t>
        </is>
      </c>
      <c r="B8" s="5" t="inlineStr">
        <is>
          <t>In-House Avg Price</t>
        </is>
      </c>
      <c r="C8" s="7" t="inlineStr">
        <is>
          <t>AVG(CASE WHEN is_myntra_label = 1 THEN selling_price END)</t>
        </is>
      </c>
      <c r="D8" s="6" t="inlineStr">
        <is>
          <t>brand_mix.in_house.avg_price</t>
        </is>
      </c>
      <c r="E8" s="6" t="inlineStr">
        <is>
          <t>/api/insights</t>
        </is>
      </c>
      <c r="F8" s="6" t="inlineStr">
        <is>
          <t>Rs. X,XXX</t>
        </is>
      </c>
      <c r="G8" s="6" t="inlineStr">
        <is>
          <t>Text label</t>
        </is>
      </c>
      <c r="H8" s="6" t="inlineStr">
        <is>
          <t>N/A</t>
        </is>
      </c>
      <c r="I8" s="6" t="inlineStr">
        <is>
          <t>brand_mix_data.in_house.avg_price</t>
        </is>
      </c>
      <c r="J8" s="6" t="inlineStr">
        <is>
          <t>Average selling price of all Myntra private-label products in scope.</t>
        </is>
      </c>
    </row>
    <row r="9" ht="45" customHeight="1">
      <c r="A9" s="8" t="inlineStr">
        <is>
          <t>4</t>
        </is>
      </c>
      <c r="B9" s="8" t="inlineStr">
        <is>
          <t>In-House Avg Discount</t>
        </is>
      </c>
      <c r="C9" s="7" t="inlineStr">
        <is>
          <t>AVG(CASE WHEN is_myntra_label = 1 THEN discount_percentage END)</t>
        </is>
      </c>
      <c r="D9" s="9" t="inlineStr">
        <is>
          <t>brand_mix.in_house.avg_discount</t>
        </is>
      </c>
      <c r="E9" s="9" t="inlineStr">
        <is>
          <t>/api/insights</t>
        </is>
      </c>
      <c r="F9" s="9" t="inlineStr">
        <is>
          <t>XX%</t>
        </is>
      </c>
      <c r="G9" s="9" t="inlineStr">
        <is>
          <t>Text label</t>
        </is>
      </c>
      <c r="H9" s="9" t="inlineStr">
        <is>
          <t>N/A</t>
        </is>
      </c>
      <c r="I9" s="9" t="inlineStr">
        <is>
          <t>brand_mix_data.in_house.avg_discount</t>
        </is>
      </c>
      <c r="J9" s="9" t="inlineStr">
        <is>
          <t>Average discount of Myntra private labels vs external brands in the same scope.</t>
        </is>
      </c>
    </row>
    <row r="10" ht="45" customHeight="1">
      <c r="A10" s="5" t="inlineStr">
        <is>
          <t>5</t>
        </is>
      </c>
      <c r="B10" s="5" t="inlineStr">
        <is>
          <t>In-House Warehouse Units</t>
        </is>
      </c>
      <c r="C10" s="7" t="inlineStr">
        <is>
          <t>SUM(CASE WHEN p.is_myntra_label = 1 THEN COALESCE(p.current_total_stock, 0) ELSE 0 END)</t>
        </is>
      </c>
      <c r="D10" s="6" t="inlineStr">
        <is>
          <t>brand_mix.in_house.units</t>
        </is>
      </c>
      <c r="E10" s="6" t="inlineStr">
        <is>
          <t>/api/insights</t>
        </is>
      </c>
      <c r="F10" s="6" t="inlineStr">
        <is>
          <t>X,XXX,XXX units</t>
        </is>
      </c>
      <c r="G10" s="6" t="inlineStr">
        <is>
          <t>Text label</t>
        </is>
      </c>
      <c r="H10" s="6" t="inlineStr">
        <is>
          <t>N/A</t>
        </is>
      </c>
      <c r="I10" s="6" t="inlineStr">
        <is>
          <t>brand_mix_data.in_house.units</t>
        </is>
      </c>
      <c r="J10" s="6" t="inlineStr">
        <is>
          <t>Separate query joining products to get current_total_stock split by brand type.</t>
        </is>
      </c>
    </row>
    <row r="12" ht="20" customHeight="1">
      <c r="A12" s="10" t="inlineStr">
        <is>
          <t>▸ SECTION B — BRAND SCALE BREAKDOWN (Largest / Mid / Small tiers)</t>
        </is>
      </c>
    </row>
    <row r="13">
      <c r="A13" s="4" t="inlineStr">
        <is>
          <t>#</t>
        </is>
      </c>
      <c r="B13" s="4" t="inlineStr">
        <is>
          <t>Tier Label</t>
        </is>
      </c>
      <c r="C13" s="4" t="inlineStr">
        <is>
          <t>Threshold (SKUs)</t>
        </is>
      </c>
      <c r="D13" s="4" t="inlineStr">
        <is>
          <t>SQL — Count Brands</t>
        </is>
      </c>
      <c r="E13" s="4" t="inlineStr">
        <is>
          <t>SQL — Count Products</t>
        </is>
      </c>
      <c r="F13" s="4" t="inlineStr">
        <is>
          <t>Constant Name</t>
        </is>
      </c>
      <c r="G13" s="4" t="inlineStr">
        <is>
          <t>Share Formula</t>
        </is>
      </c>
      <c r="H13" s="4" t="inlineStr">
        <is>
          <t>Display</t>
        </is>
      </c>
      <c r="I13" s="4" t="inlineStr">
        <is>
          <t>API</t>
        </is>
      </c>
      <c r="J13" s="4" t="inlineStr">
        <is>
          <t>Notes</t>
        </is>
      </c>
    </row>
    <row r="14" ht="55" customHeight="1">
      <c r="A14" s="5" t="inlineStr">
        <is>
          <t>1</t>
        </is>
      </c>
      <c r="B14" s="5" t="inlineStr">
        <is>
          <t>Largest Brands (&gt;= 200 SKUs)</t>
        </is>
      </c>
      <c r="C14" s="6" t="inlineStr">
        <is>
          <t>&gt;= 200 SKUs per brand</t>
        </is>
      </c>
      <c r="D14" s="7" t="inlineStr">
        <is>
          <t>SUM(CASE WHEN total_count &gt;= 200 THEN 1 ELSE 0 END)</t>
        </is>
      </c>
      <c r="E14" s="7" t="inlineStr">
        <is>
          <t>SUM(CASE WHEN total_count &gt;= 200 THEN total_count ELSE 0 END)</t>
        </is>
      </c>
      <c r="F14" s="6" t="inlineStr">
        <is>
          <t>LARGE_BRAND_MIN_PRODUCTS = 200</t>
        </is>
      </c>
      <c r="G14" s="6" t="inlineStr">
        <is>
          <t>largest_prods / (largest_prods + mid_prods + small_prods) * 100</t>
        </is>
      </c>
      <c r="H14" s="6" t="inlineStr">
        <is>
          <t>X brands (XX,XXX styles) — XX%</t>
        </is>
      </c>
      <c r="I14" s="6" t="inlineStr">
        <is>
          <t>brand_scale_breakdown.largest_brands</t>
        </is>
      </c>
      <c r="J14" s="6" t="inlineStr">
        <is>
          <t>Brands with &gt;= 200 SKUs in the current scope are classified as 'Largest'. Threshold set in server.py line 122.</t>
        </is>
      </c>
    </row>
    <row r="15" ht="55" customHeight="1">
      <c r="A15" s="8" t="inlineStr">
        <is>
          <t>2</t>
        </is>
      </c>
      <c r="B15" s="8" t="inlineStr">
        <is>
          <t>Mid-Tier Brands (100-199 SKUs)</t>
        </is>
      </c>
      <c r="C15" s="9" t="inlineStr">
        <is>
          <t>100 - 199 SKUs per brand</t>
        </is>
      </c>
      <c r="D15" s="7" t="inlineStr">
        <is>
          <t>SUM(CASE WHEN total_count &gt;= 100 AND total_count &lt; 200 THEN 1 ELSE 0 END)</t>
        </is>
      </c>
      <c r="E15" s="7" t="inlineStr">
        <is>
          <t>SUM(CASE WHEN total_count &gt;= 100 AND total_count &lt; 200 THEN total_count ELSE 0 END)</t>
        </is>
      </c>
      <c r="F15" s="9" t="inlineStr">
        <is>
          <t>MID_BRAND_MIN_PRODUCTS = 100</t>
        </is>
      </c>
      <c r="G15" s="9" t="inlineStr">
        <is>
          <t>mid_prods / total_scale_prods * 100</t>
        </is>
      </c>
      <c r="H15" s="9" t="inlineStr">
        <is>
          <t>X brands (X,XXX styles) — XX%</t>
        </is>
      </c>
      <c r="I15" s="9" t="inlineStr">
        <is>
          <t>brand_scale_breakdown.mid_brands</t>
        </is>
      </c>
      <c r="J15" s="9" t="inlineStr">
        <is>
          <t>MID_BRAND_MIN_PRODUCTS = 100 (line 123). Mid = 100 to 199.</t>
        </is>
      </c>
    </row>
    <row r="16" ht="55" customHeight="1">
      <c r="A16" s="5" t="inlineStr">
        <is>
          <t>3</t>
        </is>
      </c>
      <c r="B16" s="5" t="inlineStr">
        <is>
          <t>Small / Emerging (&lt; 100 SKUs)</t>
        </is>
      </c>
      <c r="C16" s="6" t="inlineStr">
        <is>
          <t>&lt; 100 SKUs per brand</t>
        </is>
      </c>
      <c r="D16" s="7" t="inlineStr">
        <is>
          <t>SUM(CASE WHEN total_count &lt; 100 THEN 1 ELSE 0 END)</t>
        </is>
      </c>
      <c r="E16" s="7" t="inlineStr">
        <is>
          <t>SUM(CASE WHEN total_count &lt; 100 THEN total_count ELSE 0 END)</t>
        </is>
      </c>
      <c r="F16" s="6" t="inlineStr">
        <is>
          <t>Implicit: &lt; MID_BRAND_MIN_PRODUCTS</t>
        </is>
      </c>
      <c r="G16" s="6" t="inlineStr">
        <is>
          <t>small_prods / total_scale_prods * 100</t>
        </is>
      </c>
      <c r="H16" s="6" t="inlineStr">
        <is>
          <t>X brands (XXX styles) — XX%</t>
        </is>
      </c>
      <c r="I16" s="6" t="inlineStr">
        <is>
          <t>brand_scale_breakdown.small_brands</t>
        </is>
      </c>
      <c r="J16" s="6" t="inlineStr">
        <is>
          <t>The WITH brand_counts CTE first counts SKUs per brand, then the outer SELECT categorises by tier.</t>
        </is>
      </c>
    </row>
    <row r="18" ht="20" customHeight="1">
      <c r="A18" s="12" t="inlineStr">
        <is>
          <t>▸ SECTION C — TOP BRANDS TABLE (25 brands ranked in Overview)</t>
        </is>
      </c>
    </row>
    <row r="19">
      <c r="A19" s="4" t="inlineStr">
        <is>
          <t>#</t>
        </is>
      </c>
      <c r="B19" s="4" t="inlineStr">
        <is>
          <t>Column in Table</t>
        </is>
      </c>
      <c r="C19" s="4" t="inlineStr">
        <is>
          <t>SQL Formula</t>
        </is>
      </c>
      <c r="D19" s="4" t="inlineStr">
        <is>
          <t>Sort Order</t>
        </is>
      </c>
      <c r="E19" s="4" t="inlineStr">
        <is>
          <t>Join</t>
        </is>
      </c>
      <c r="F19" s="4" t="inlineStr">
        <is>
          <t>Display Format</t>
        </is>
      </c>
      <c r="G19" s="4" t="inlineStr">
        <is>
          <t>Source Endpoint</t>
        </is>
      </c>
      <c r="H19" s="4" t="inlineStr">
        <is>
          <t>Notes</t>
        </is>
      </c>
      <c r="I19" s="4" t="inlineStr"/>
      <c r="J19" s="4" t="inlineStr"/>
    </row>
    <row r="20" ht="45" customHeight="1">
      <c r="A20" s="5" t="inlineStr">
        <is>
          <t>1</t>
        </is>
      </c>
      <c r="B20" s="5" t="inlineStr">
        <is>
          <t>Brand Name</t>
        </is>
      </c>
      <c r="C20" s="7" t="inlineStr">
        <is>
          <t>p.brand</t>
        </is>
      </c>
      <c r="D20" s="6" t="inlineStr">
        <is>
          <t>ORDER BY product_count DESC LIMIT 25</t>
        </is>
      </c>
      <c r="E20" s="6" t="inlineStr">
        <is>
          <t>products p</t>
        </is>
      </c>
      <c r="F20" s="6" t="inlineStr">
        <is>
          <t>Text</t>
        </is>
      </c>
      <c r="G20" s="6" t="inlineStr">
        <is>
          <t>/ api/insights top_brands</t>
        </is>
      </c>
      <c r="H20" s="6" t="inlineStr">
        <is>
          <t>Brand column — exact string as stored in DB.</t>
        </is>
      </c>
    </row>
    <row r="21" ht="45" customHeight="1">
      <c r="A21" s="8" t="inlineStr">
        <is>
          <t>2</t>
        </is>
      </c>
      <c r="B21" s="8" t="inlineStr">
        <is>
          <t>Brand Type</t>
        </is>
      </c>
      <c r="C21" s="7" t="inlineStr">
        <is>
          <t>p.is_myntra_label</t>
        </is>
      </c>
      <c r="D21" s="9" t="inlineStr">
        <is>
          <t>Derived from is_myntra_label</t>
        </is>
      </c>
      <c r="E21" s="9" t="inlineStr">
        <is>
          <t>products p</t>
        </is>
      </c>
      <c r="F21" s="9" t="inlineStr">
        <is>
          <t>'Myntra In-House Label' / 'External Brand'</t>
        </is>
      </c>
      <c r="G21" s="9" t="inlineStr">
        <is>
          <t>/api/insights</t>
        </is>
      </c>
      <c r="H21" s="9" t="inlineStr">
        <is>
          <t>Boolean column. 1 = Myntra private, 0 = external.</t>
        </is>
      </c>
    </row>
    <row r="22" ht="45" customHeight="1">
      <c r="A22" s="5" t="inlineStr">
        <is>
          <t>3</t>
        </is>
      </c>
      <c r="B22" s="5" t="inlineStr">
        <is>
          <t>Product Count (SKUs)</t>
        </is>
      </c>
      <c r="C22" s="7" t="inlineStr">
        <is>
          <t>COUNT(*) as product_count</t>
        </is>
      </c>
      <c r="D22" s="6" t="inlineStr">
        <is>
          <t>Primary sort field</t>
        </is>
      </c>
      <c r="E22" s="6" t="inlineStr">
        <is>
          <t>products p</t>
        </is>
      </c>
      <c r="F22" s="6" t="inlineStr">
        <is>
          <t>X,XXX SKUs</t>
        </is>
      </c>
      <c r="G22" s="6" t="inlineStr">
        <is>
          <t>/api/insights top_brands</t>
        </is>
      </c>
      <c r="H22" s="6" t="inlineStr">
        <is>
          <t>Raw count of products rows grouped by brand.</t>
        </is>
      </c>
    </row>
    <row r="23" ht="45" customHeight="1">
      <c r="A23" s="8" t="inlineStr">
        <is>
          <t>4</t>
        </is>
      </c>
      <c r="B23" s="8" t="inlineStr">
        <is>
          <t>Inventory Units</t>
        </is>
      </c>
      <c r="C23" s="7" t="inlineStr">
        <is>
          <t>SUM(COALESCE(p.current_total_stock, 0)) per brand</t>
        </is>
      </c>
      <c r="D23" s="9" t="inlineStr">
        <is>
          <t>Separate query via _get_brand_inventory_breakdown()</t>
        </is>
      </c>
      <c r="E23" s="9" t="inlineStr">
        <is>
          <t>products p LEFT JOIN size lookup</t>
        </is>
      </c>
      <c r="F23" s="9" t="inlineStr">
        <is>
          <t>X,XXX,XXX units</t>
        </is>
      </c>
      <c r="G23" s="9" t="inlineStr">
        <is>
          <t>/api/insights inventory_count field</t>
        </is>
      </c>
      <c r="H23" s="9" t="inlineStr">
        <is>
          <t>Second query fetches current_total_stock sum per brand separately.</t>
        </is>
      </c>
    </row>
    <row r="24" ht="45" customHeight="1">
      <c r="A24" s="5" t="inlineStr">
        <is>
          <t>5</t>
        </is>
      </c>
      <c r="B24" s="5" t="inlineStr">
        <is>
          <t>Avg Price</t>
        </is>
      </c>
      <c r="C24" s="7" t="inlineStr">
        <is>
          <t>ROUND(AVG(p.selling_price), 1)</t>
        </is>
      </c>
      <c r="D24" s="6" t="inlineStr">
        <is>
          <t>N/A</t>
        </is>
      </c>
      <c r="E24" s="6" t="inlineStr">
        <is>
          <t>products p</t>
        </is>
      </c>
      <c r="F24" s="6" t="inlineStr">
        <is>
          <t>Rs. X,XXX</t>
        </is>
      </c>
      <c r="G24" s="6" t="inlineStr">
        <is>
          <t>/api/insights avg_price</t>
        </is>
      </c>
      <c r="H24" s="6" t="inlineStr">
        <is>
          <t>Mean selling price across all the brand's SKUs in scope.</t>
        </is>
      </c>
    </row>
    <row r="25" ht="45" customHeight="1">
      <c r="A25" s="8" t="inlineStr">
        <is>
          <t>6</t>
        </is>
      </c>
      <c r="B25" s="8" t="inlineStr">
        <is>
          <t>Avg Discount</t>
        </is>
      </c>
      <c r="C25" s="7" t="inlineStr">
        <is>
          <t>ROUND(AVG(p.discount_percentage), 1)</t>
        </is>
      </c>
      <c r="D25" s="9" t="inlineStr">
        <is>
          <t>N/A</t>
        </is>
      </c>
      <c r="E25" s="9" t="inlineStr">
        <is>
          <t>products p</t>
        </is>
      </c>
      <c r="F25" s="9" t="inlineStr">
        <is>
          <t>XX.X%</t>
        </is>
      </c>
      <c r="G25" s="9" t="inlineStr">
        <is>
          <t>/api/insights avg_discount</t>
        </is>
      </c>
      <c r="H25" s="9" t="inlineStr">
        <is>
          <t>Mean discount_percentage (pre-computed column) for the brand.</t>
        </is>
      </c>
    </row>
    <row r="26" ht="45" customHeight="1">
      <c r="A26" s="5" t="inlineStr">
        <is>
          <t>7</t>
        </is>
      </c>
      <c r="B26" s="5" t="inlineStr">
        <is>
          <t>Avg Rating</t>
        </is>
      </c>
      <c r="C26" s="7" t="inlineStr">
        <is>
          <t>ROUND(AVG(p.average_rating), 1)</t>
        </is>
      </c>
      <c r="D26" s="6" t="inlineStr">
        <is>
          <t>N/A</t>
        </is>
      </c>
      <c r="E26" s="6" t="inlineStr">
        <is>
          <t>products p</t>
        </is>
      </c>
      <c r="F26" s="6" t="inlineStr">
        <is>
          <t>X.X / 5</t>
        </is>
      </c>
      <c r="G26" s="6" t="inlineStr">
        <is>
          <t>/api/insights avg_rating</t>
        </is>
      </c>
      <c r="H26" s="6" t="inlineStr">
        <is>
          <t>Mean of average_rating column per brand. NULL ratings excluded by SQL AVG().</t>
        </is>
      </c>
    </row>
    <row r="27" ht="45" customHeight="1">
      <c r="A27" s="8" t="inlineStr">
        <is>
          <t>8</t>
        </is>
      </c>
      <c r="B27" s="8" t="inlineStr">
        <is>
          <t>Inventory Value (Rs.)</t>
        </is>
      </c>
      <c r="C27" s="7" t="inlineStr">
        <is>
          <t>SUM(current_total_stock * selling_price) per brand</t>
        </is>
      </c>
      <c r="D27" s="9" t="inlineStr">
        <is>
          <t>Sorted by value DESC in brand valuation view</t>
        </is>
      </c>
      <c r="E27" s="9" t="inlineStr">
        <is>
          <t>products p</t>
        </is>
      </c>
      <c r="F27" s="9" t="inlineStr">
        <is>
          <t>Rs. X.XX Cr / L / K (Indian format)</t>
        </is>
      </c>
      <c r="G27" s="9" t="inlineStr">
        <is>
          <t>/api/insights inventory_valuation.top_brands_valuation</t>
        </is>
      </c>
      <c r="H27" s="9" t="inlineStr">
        <is>
          <t>format_currency_in() in server.py: &gt;= 1Cr shows 'X.XX Cr', &gt;= 1L shows 'X.XX L', else plain Rs.XXX</t>
        </is>
      </c>
    </row>
  </sheetData>
  <mergeCells count="5">
    <mergeCell ref="A1:J1"/>
    <mergeCell ref="A18:J18"/>
    <mergeCell ref="A12:J12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28" customWidth="1" min="5" max="5"/>
    <col width="25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5 — CATEGORY INTELLIGENCE: DONUT + TABLE + SUBCATEGORY BREAKDOWN</t>
        </is>
      </c>
    </row>
    <row r="2" ht="18" customHeight="1">
      <c r="A2" s="2" t="inlineStr">
        <is>
          <t>Category comparison SQL, subcategory grouping logic, units, price and discount per sub-category  |  /api/insights/light + /api/insights</t>
        </is>
      </c>
    </row>
    <row r="4" ht="20" customHeight="1">
      <c r="A4" s="11" t="inlineStr">
        <is>
          <t>▸ SECTION A — CATEGORY DONUT CHART</t>
        </is>
      </c>
    </row>
    <row r="5">
      <c r="A5" s="4" t="inlineStr">
        <is>
          <t>#</t>
        </is>
      </c>
      <c r="B5" s="4" t="inlineStr">
        <is>
          <t>Data Field</t>
        </is>
      </c>
      <c r="C5" s="4" t="inlineStr">
        <is>
          <t>SQL (Grouping Logic)</t>
        </is>
      </c>
      <c r="D5" s="4" t="inlineStr">
        <is>
          <t>Python Key</t>
        </is>
      </c>
      <c r="E5" s="4" t="inlineStr">
        <is>
          <t>Count</t>
        </is>
      </c>
      <c r="F5" s="4" t="inlineStr">
        <is>
          <t>Units</t>
        </is>
      </c>
      <c r="G5" s="4" t="inlineStr">
        <is>
          <t>Avg Price</t>
        </is>
      </c>
      <c r="H5" s="4" t="inlineStr">
        <is>
          <t>Avg Disc</t>
        </is>
      </c>
      <c r="I5" s="4" t="inlineStr">
        <is>
          <t>Chart Type</t>
        </is>
      </c>
      <c r="J5" s="4" t="inlineStr">
        <is>
          <t>Notes</t>
        </is>
      </c>
    </row>
    <row r="6" ht="60" customHeight="1">
      <c r="A6" s="5" t="inlineStr">
        <is>
          <t>1</t>
        </is>
      </c>
      <c r="B6" s="5" t="inlineStr">
        <is>
          <t>Subcategory label (or Category if no sub_category)</t>
        </is>
      </c>
      <c r="C6" s="7" t="inlineStr">
        <is>
          <t>COALESCE(NULLIF(p.sub_category, ''), p.category) AS silh — groups by this derived label</t>
        </is>
      </c>
      <c r="D6" s="6" t="inlineStr">
        <is>
          <t>category_comparison[label].count</t>
        </is>
      </c>
      <c r="E6" s="6" t="inlineStr">
        <is>
          <t>COUNT(*) per group</t>
        </is>
      </c>
      <c r="F6" s="6" t="inlineStr">
        <is>
          <t>SUM(COALESCE(p.current_total_stock, 0))</t>
        </is>
      </c>
      <c r="G6" s="6" t="inlineStr">
        <is>
          <t>ROUND(AVG(p.selling_price), 1)</t>
        </is>
      </c>
      <c r="H6" s="6" t="inlineStr">
        <is>
          <t>ROUND(AVG(p.discount_percentage), 1)</t>
        </is>
      </c>
      <c r="I6" s="6" t="inlineStr">
        <is>
          <t>Donut chart — each slice = one subcategory</t>
        </is>
      </c>
      <c r="J6" s="6" t="inlineStr">
        <is>
          <t>If sub_category is blank/null, falls back to category. Sorted by count DESC. All subcategories included, not just top N.</t>
        </is>
      </c>
    </row>
    <row r="7" ht="60" customHeight="1">
      <c r="A7" s="8" t="inlineStr">
        <is>
          <t>2</t>
        </is>
      </c>
      <c r="B7" s="8" t="inlineStr">
        <is>
          <t>Fallback entry if no subcategories found</t>
        </is>
      </c>
      <c r="C7" s="7" t="inlineStr">
        <is>
          <t>IF category_comparison doesn't contain known WW keys (Tops, Dresses, Jeans, etc.) and total_products &gt; 0: adds single 'Westernwear' entry</t>
        </is>
      </c>
      <c r="D7" s="9" t="inlineStr">
        <is>
          <t>category_comparison['Westernwear']</t>
        </is>
      </c>
      <c r="E7" s="9">
        <f> total_products</f>
        <v/>
      </c>
      <c r="F7" s="9">
        <f> total_warehouse_units</f>
        <v/>
      </c>
      <c r="G7" s="9">
        <f> avg_price</f>
        <v/>
      </c>
      <c r="H7" s="9">
        <f> avg_discount_val</f>
        <v/>
      </c>
      <c r="I7" s="9" t="inlineStr">
        <is>
          <t>Single-slice donut</t>
        </is>
      </c>
      <c r="J7" s="9" t="inlineStr">
        <is>
          <t>Safety fallback so the chart is never empty when products exist but all have blank sub_category.</t>
        </is>
      </c>
    </row>
    <row r="9" ht="20" customHeight="1">
      <c r="A9" s="10" t="inlineStr">
        <is>
          <t>▸ SECTION B — SUBCATEGORY TABLE (all columns explained)</t>
        </is>
      </c>
    </row>
    <row r="10">
      <c r="A10" s="4" t="inlineStr">
        <is>
          <t>#</t>
        </is>
      </c>
      <c r="B10" s="4" t="inlineStr">
        <is>
          <t>Column Name (UI)</t>
        </is>
      </c>
      <c r="C10" s="4" t="inlineStr">
        <is>
          <t>SQL Formula</t>
        </is>
      </c>
      <c r="D10" s="4" t="inlineStr">
        <is>
          <t>Source Field</t>
        </is>
      </c>
      <c r="E10" s="4" t="inlineStr">
        <is>
          <t>Group By</t>
        </is>
      </c>
      <c r="F10" s="4" t="inlineStr">
        <is>
          <t>Sort</t>
        </is>
      </c>
      <c r="G10" s="4" t="inlineStr">
        <is>
          <t>Display Format</t>
        </is>
      </c>
      <c r="H10" s="4" t="inlineStr">
        <is>
          <t>API Endpoint</t>
        </is>
      </c>
      <c r="I10" s="4" t="inlineStr">
        <is>
          <t>Notes</t>
        </is>
      </c>
      <c r="J10" s="4" t="inlineStr"/>
    </row>
    <row r="11" ht="45" customHeight="1">
      <c r="A11" s="5" t="inlineStr">
        <is>
          <t>1</t>
        </is>
      </c>
      <c r="B11" s="5" t="inlineStr">
        <is>
          <t>Subcategory Name</t>
        </is>
      </c>
      <c r="C11" s="7" t="inlineStr">
        <is>
          <t>COALESCE(NULLIF(p.sub_category, ''), p.category)</t>
        </is>
      </c>
      <c r="D11" s="6" t="inlineStr">
        <is>
          <t>category_comparison key</t>
        </is>
      </c>
      <c r="E11" s="6" t="inlineStr">
        <is>
          <t>GROUP BY this derived label</t>
        </is>
      </c>
      <c r="F11" s="6" t="inlineStr">
        <is>
          <t>COUNT(*) DESC</t>
        </is>
      </c>
      <c r="G11" s="6" t="inlineStr">
        <is>
          <t>Text string</t>
        </is>
      </c>
      <c r="H11" s="6" t="inlineStr">
        <is>
          <t>category_comparison</t>
        </is>
      </c>
      <c r="I11" s="6" t="inlineStr">
        <is>
          <t>NULLIF ensures empty string treated same as NULL. Falls back to category.</t>
        </is>
      </c>
    </row>
    <row r="12" ht="45" customHeight="1">
      <c r="A12" s="8" t="inlineStr">
        <is>
          <t>2</t>
        </is>
      </c>
      <c r="B12" s="8" t="inlineStr">
        <is>
          <t>SKU Count</t>
        </is>
      </c>
      <c r="C12" s="7" t="inlineStr">
        <is>
          <t>COUNT(*) as silh_cnt</t>
        </is>
      </c>
      <c r="D12" s="9" t="inlineStr">
        <is>
          <t>category_comparison[x].count</t>
        </is>
      </c>
      <c r="E12" s="9" t="inlineStr">
        <is>
          <t>Per subcategory group</t>
        </is>
      </c>
      <c r="F12" s="9" t="inlineStr">
        <is>
          <t>Determines sort order</t>
        </is>
      </c>
      <c r="G12" s="9" t="inlineStr">
        <is>
          <t>X,XXX SKUs</t>
        </is>
      </c>
      <c r="H12" s="9" t="inlineStr">
        <is>
          <t>category_comparison</t>
        </is>
      </c>
      <c r="I12" s="9" t="inlineStr">
        <is>
          <t>Raw product row count per subcategory.</t>
        </is>
      </c>
    </row>
    <row r="13" ht="45" customHeight="1">
      <c r="A13" s="5" t="inlineStr">
        <is>
          <t>3</t>
        </is>
      </c>
      <c r="B13" s="5" t="inlineStr">
        <is>
          <t>Warehouse Units</t>
        </is>
      </c>
      <c r="C13" s="7" t="inlineStr">
        <is>
          <t>SUM(COALESCE(p.current_total_stock, 0)) as silh_units</t>
        </is>
      </c>
      <c r="D13" s="6" t="inlineStr">
        <is>
          <t>category_comparison[x].units</t>
        </is>
      </c>
      <c r="E13" s="6" t="inlineStr">
        <is>
          <t>Per subcategory group</t>
        </is>
      </c>
      <c r="F13" s="6" t="inlineStr">
        <is>
          <t>N/A</t>
        </is>
      </c>
      <c r="G13" s="6" t="inlineStr">
        <is>
          <t>X,XXX,XXX units</t>
        </is>
      </c>
      <c r="H13" s="6" t="inlineStr">
        <is>
          <t>category_comparison</t>
        </is>
      </c>
      <c r="I13" s="6" t="inlineStr">
        <is>
          <t>Sum of current_total_stock (live inventory) per subcategory. May differ from snapshot.</t>
        </is>
      </c>
    </row>
    <row r="14" ht="45" customHeight="1">
      <c r="A14" s="8" t="inlineStr">
        <is>
          <t>4</t>
        </is>
      </c>
      <c r="B14" s="8" t="inlineStr">
        <is>
          <t>Avg Selling Price</t>
        </is>
      </c>
      <c r="C14" s="7" t="inlineStr">
        <is>
          <t>ROUND(AVG(p.selling_price), 1) as silh_price</t>
        </is>
      </c>
      <c r="D14" s="9" t="inlineStr">
        <is>
          <t>category_comparison[x].avg_price</t>
        </is>
      </c>
      <c r="E14" s="9" t="inlineStr">
        <is>
          <t>Per subcategory group</t>
        </is>
      </c>
      <c r="F14" s="9" t="inlineStr">
        <is>
          <t>N/A</t>
        </is>
      </c>
      <c r="G14" s="9" t="inlineStr">
        <is>
          <t>Rs. X,XXX</t>
        </is>
      </c>
      <c r="H14" s="9" t="inlineStr">
        <is>
          <t>category_comparison</t>
        </is>
      </c>
      <c r="I14" s="9" t="inlineStr">
        <is>
          <t>Mean selling_price per subcategory. If null, falls back to overall avg_price.</t>
        </is>
      </c>
    </row>
    <row r="15" ht="45" customHeight="1">
      <c r="A15" s="5" t="inlineStr">
        <is>
          <t>5</t>
        </is>
      </c>
      <c r="B15" s="5" t="inlineStr">
        <is>
          <t>Avg Discount</t>
        </is>
      </c>
      <c r="C15" s="7" t="inlineStr">
        <is>
          <t>ROUND(AVG(p.discount_percentage), 1) as silh_disc</t>
        </is>
      </c>
      <c r="D15" s="6" t="inlineStr">
        <is>
          <t>category_comparison[x].avg_discount</t>
        </is>
      </c>
      <c r="E15" s="6" t="inlineStr">
        <is>
          <t>Per subcategory group</t>
        </is>
      </c>
      <c r="F15" s="6" t="inlineStr">
        <is>
          <t>N/A</t>
        </is>
      </c>
      <c r="G15" s="6" t="inlineStr">
        <is>
          <t>XX.X%</t>
        </is>
      </c>
      <c r="H15" s="6" t="inlineStr">
        <is>
          <t>category_comparison</t>
        </is>
      </c>
      <c r="I15" s="6" t="inlineStr">
        <is>
          <t>Mean discount_percentage per subcategory. Falls back to overall avg_discount_val if null.</t>
        </is>
      </c>
    </row>
  </sheetData>
  <mergeCells count="4">
    <mergeCell ref="A1:J1"/>
    <mergeCell ref="A4:J4"/>
    <mergeCell ref="A9:J9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28" customWidth="1" min="5" max="5"/>
    <col width="25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6 — INVENTORY LOGIC: WAREHOUSE UNITS, SNAPSHOTS, HEATMAP, VALUATION</t>
        </is>
      </c>
    </row>
    <row r="2" ht="18" customHeight="1">
      <c r="A2" s="2" t="inlineStr">
        <is>
          <t>How inventory is counted, snapshotted, and displayed across all cards  |  Source: daily_inventory_snapshots + products.current_total_stock</t>
        </is>
      </c>
    </row>
    <row r="4" ht="20" customHeight="1">
      <c r="A4" s="12" t="inlineStr">
        <is>
          <t>▸ SECTION A — INVENTORY COUNTING LOGIC (Live vs Snapshot)</t>
        </is>
      </c>
    </row>
    <row r="5">
      <c r="A5" s="4" t="inlineStr">
        <is>
          <t>#</t>
        </is>
      </c>
      <c r="B5" s="4" t="inlineStr">
        <is>
          <t>Metric</t>
        </is>
      </c>
      <c r="C5" s="4" t="inlineStr">
        <is>
          <t>Primary Source</t>
        </is>
      </c>
      <c r="D5" s="4" t="inlineStr">
        <is>
          <t>SQL (Primary)</t>
        </is>
      </c>
      <c r="E5" s="4" t="inlineStr">
        <is>
          <t>Fallback Source</t>
        </is>
      </c>
      <c r="F5" s="4" t="inlineStr">
        <is>
          <t>SQL (Fallback)</t>
        </is>
      </c>
      <c r="G5" s="4" t="inlineStr">
        <is>
          <t>Where Clause</t>
        </is>
      </c>
      <c r="H5" s="4" t="inlineStr">
        <is>
          <t>API Field</t>
        </is>
      </c>
      <c r="I5" s="4" t="inlineStr">
        <is>
          <t>Notes</t>
        </is>
      </c>
      <c r="J5" s="4" t="inlineStr"/>
    </row>
    <row r="6" ht="55" customHeight="1">
      <c r="A6" s="5" t="inlineStr">
        <is>
          <t>1</t>
        </is>
      </c>
      <c r="B6" s="5" t="inlineStr">
        <is>
          <t>Total Warehouse Units (Live)</t>
        </is>
      </c>
      <c r="C6" s="6" t="inlineStr">
        <is>
          <t>products.current_total_stock</t>
        </is>
      </c>
      <c r="D6" s="7" t="inlineStr">
        <is>
          <t>SUM(COALESCE(p.current_total_stock, 0)) FROM products p WHERE [scope_filter]</t>
        </is>
      </c>
      <c r="E6" s="6" t="inlineStr">
        <is>
          <t>daily_inventory_snapshots (latest date)</t>
        </is>
      </c>
      <c r="F6" s="7" t="inlineStr">
        <is>
          <t>SUM(s.total_stock) WHERE s.snapshot_date = MAX(snapshot_date)</t>
        </is>
      </c>
      <c r="G6" s="6" t="inlineStr">
        <is>
          <t>Same CTO scope filter</t>
        </is>
      </c>
      <c r="H6" s="6" t="inlineStr">
        <is>
          <t>total_warehouse_units</t>
        </is>
      </c>
      <c r="I6" s="6" t="inlineStr">
        <is>
          <t>Prefers LIVE current_total_stock from products table. Falls back to latest snapshot only if live total = 0.</t>
        </is>
      </c>
    </row>
    <row r="7" ht="55" customHeight="1">
      <c r="A7" s="8" t="inlineStr">
        <is>
          <t>2</t>
        </is>
      </c>
      <c r="B7" s="8" t="inlineStr">
        <is>
          <t>In-Stock Products Count</t>
        </is>
      </c>
      <c r="C7" s="9" t="inlineStr">
        <is>
          <t>products.is_in_stock</t>
        </is>
      </c>
      <c r="D7" s="7" t="inlineStr">
        <is>
          <t>SUM(CASE WHEN is_in_stock = 1 THEN 1 ELSE 0 END) FROM products WHERE [scope]</t>
        </is>
      </c>
      <c r="E7" s="9" t="inlineStr">
        <is>
          <t>N/A — no fallback</t>
        </is>
      </c>
      <c r="F7" s="7" t="inlineStr">
        <is>
          <t>N/A</t>
        </is>
      </c>
      <c r="G7" s="9" t="inlineStr">
        <is>
          <t>Same scope filter</t>
        </is>
      </c>
      <c r="H7" s="9" t="inlineStr">
        <is>
          <t>in_stock</t>
        </is>
      </c>
      <c r="I7" s="9" t="inlineStr">
        <is>
          <t>is_in_stock is a Boolean flag set by the scraper. 1 = available on Myntra. 0 = out of stock.</t>
        </is>
      </c>
    </row>
    <row r="8" ht="55" customHeight="1">
      <c r="A8" s="5" t="inlineStr">
        <is>
          <t>3</t>
        </is>
      </c>
      <c r="B8" s="5" t="inlineStr">
        <is>
          <t>In-Stock via Size-Level Check</t>
        </is>
      </c>
      <c r="C8" s="6" t="inlineStr">
        <is>
          <t>product_sizes table</t>
        </is>
      </c>
      <c r="D8" s="7" t="inlineStr">
        <is>
          <t>COALESCE(s.available, 0) = 1 OR COALESCE(s.inventory_count, 0) &gt; 0</t>
        </is>
      </c>
      <c r="E8" s="6" t="inlineStr">
        <is>
          <t>N/A</t>
        </is>
      </c>
      <c r="F8" s="7" t="inlineStr">
        <is>
          <t>N/A</t>
        </is>
      </c>
      <c r="G8" s="6" t="inlineStr">
        <is>
          <t>JOIN products ON product_sizes.product_id = products.product_id</t>
        </is>
      </c>
      <c r="H8" s="6" t="inlineStr">
        <is>
          <t>inventory_live_products</t>
        </is>
      </c>
      <c r="I8" s="6" t="inlineStr">
        <is>
          <t>_inventory_available_condition() helper builds this clause. Used in detailed size intelligence views.</t>
        </is>
      </c>
    </row>
    <row r="9" ht="55" customHeight="1">
      <c r="A9" s="8" t="inlineStr">
        <is>
          <t>4</t>
        </is>
      </c>
      <c r="B9" s="8" t="inlineStr">
        <is>
          <t>Inventory Valuation (Selling Value)</t>
        </is>
      </c>
      <c r="C9" s="9" t="inlineStr">
        <is>
          <t>products.current_total_stock * products.selling_price</t>
        </is>
      </c>
      <c r="D9" s="7" t="inlineStr">
        <is>
          <t>SUM(COALESCE(p.current_total_stock, 0) * COALESCE(p.selling_price, 0))</t>
        </is>
      </c>
      <c r="E9" s="9" t="inlineStr">
        <is>
          <t>inventory_totals.total_units * avg_price</t>
        </is>
      </c>
      <c r="F9" s="7" t="inlineStr">
        <is>
          <t>Estimate: total_warehouse_units * average_price</t>
        </is>
      </c>
      <c r="G9" s="9" t="inlineStr">
        <is>
          <t>Same scope</t>
        </is>
      </c>
      <c r="H9" s="9" t="inlineStr">
        <is>
          <t>inventory_valuation.total_stock_value</t>
        </is>
      </c>
      <c r="I9" s="9" t="inlineStr">
        <is>
          <t>Stock Value = units on hand * selling price (not MRP). Shows what inventory is worth at current prices.</t>
        </is>
      </c>
    </row>
    <row r="10" ht="55" customHeight="1">
      <c r="A10" s="5" t="inlineStr">
        <is>
          <t>5</t>
        </is>
      </c>
      <c r="B10" s="5" t="inlineStr">
        <is>
          <t>Inventory Valuation (MRP Value)</t>
        </is>
      </c>
      <c r="C10" s="6" t="inlineStr">
        <is>
          <t>products.current_total_stock * products.mrp</t>
        </is>
      </c>
      <c r="D10" s="7" t="inlineStr">
        <is>
          <t>SUM(COALESCE(p.current_total_stock, 0) * COALESCE(p.mrp, 0))</t>
        </is>
      </c>
      <c r="E10" s="6" t="inlineStr">
        <is>
          <t>total_units * avg_mrp</t>
        </is>
      </c>
      <c r="F10" s="7" t="inlineStr">
        <is>
          <t>Estimate</t>
        </is>
      </c>
      <c r="G10" s="6" t="inlineStr">
        <is>
          <t>Same scope</t>
        </is>
      </c>
      <c r="H10" s="6" t="inlineStr">
        <is>
          <t>inventory_valuation.total_mrp_value</t>
        </is>
      </c>
      <c r="I10" s="6" t="inlineStr">
        <is>
          <t>MRP Value shows the 'at-sticker-price' valuation. Difference from selling value = implied total discount value.</t>
        </is>
      </c>
    </row>
    <row r="11" ht="55" customHeight="1">
      <c r="A11" s="8" t="inlineStr">
        <is>
          <t>6</t>
        </is>
      </c>
      <c r="B11" s="8" t="inlineStr">
        <is>
          <t>Snapshot Delta (inventory_added)</t>
        </is>
      </c>
      <c r="C11" s="9" t="inlineStr">
        <is>
          <t>daily_inventory_snapshots latest vs prior</t>
        </is>
      </c>
      <c r="D11" s="7" t="inlineStr">
        <is>
          <t>SUM(latest_snapshot.total_stock) - SUM(prior_snapshot.total_stock)</t>
        </is>
      </c>
      <c r="E11" s="9" t="inlineStr">
        <is>
          <t>N/A</t>
        </is>
      </c>
      <c r="F11" s="7" t="inlineStr">
        <is>
          <t>N/A</t>
        </is>
      </c>
      <c r="G11" s="9" t="inlineStr">
        <is>
          <t>Both snapshots filtered to same scope</t>
        </is>
      </c>
      <c r="H11" s="9" t="inlineStr">
        <is>
          <t>inventory_added_since_prior_run</t>
        </is>
      </c>
      <c r="I11" s="9" t="inlineStr">
        <is>
          <t>Positive = inventory was restocked. Negative = sold-through or units removed.</t>
        </is>
      </c>
    </row>
    <row r="13" ht="20" customHeight="1">
      <c r="A13" s="10" t="inlineStr">
        <is>
          <t>▸ SECTION B — SIZE INVENTORY HEATMAP (Brand x Size matrix)</t>
        </is>
      </c>
    </row>
    <row r="14">
      <c r="A14" s="4" t="inlineStr">
        <is>
          <t>#</t>
        </is>
      </c>
      <c r="B14" s="4" t="inlineStr">
        <is>
          <t>UI Element</t>
        </is>
      </c>
      <c r="C14" s="4" t="inlineStr">
        <is>
          <t>SQL / Logic</t>
        </is>
      </c>
      <c r="D14" s="4" t="inlineStr">
        <is>
          <t>Data Source</t>
        </is>
      </c>
      <c r="E14" s="4" t="inlineStr">
        <is>
          <t>How Sizes Are Selected</t>
        </is>
      </c>
      <c r="F14" s="4" t="inlineStr">
        <is>
          <t>Display</t>
        </is>
      </c>
      <c r="G14" s="4" t="inlineStr">
        <is>
          <t>Notes</t>
        </is>
      </c>
      <c r="H14" s="4" t="inlineStr"/>
      <c r="I14" s="4" t="inlineStr"/>
      <c r="J14" s="4" t="inlineStr"/>
    </row>
    <row r="15" ht="50" customHeight="1">
      <c r="A15" s="5" t="inlineStr">
        <is>
          <t>1</t>
        </is>
      </c>
      <c r="B15" s="5" t="inlineStr">
        <is>
          <t>Heatmap Rows (Brands)</t>
        </is>
      </c>
      <c r="C15" s="7" t="inlineStr">
        <is>
          <t>Top 25 brands by product_count in scope</t>
        </is>
      </c>
      <c r="D15" s="6" t="inlineStr">
        <is>
          <t>top_brands list</t>
        </is>
      </c>
      <c r="E15" s="6" t="inlineStr">
        <is>
          <t>First 25 brands from brand table query</t>
        </is>
      </c>
      <c r="F15" s="6" t="inlineStr">
        <is>
          <t>One row per brand</t>
        </is>
      </c>
      <c r="G15" s="6" t="inlineStr">
        <is>
          <t>Each row shows size-level inventory for that brand.</t>
        </is>
      </c>
    </row>
    <row r="16" ht="50" customHeight="1">
      <c r="A16" s="8" t="inlineStr">
        <is>
          <t>2</t>
        </is>
      </c>
      <c r="B16" s="8" t="inlineStr">
        <is>
          <t>Heatmap Columns (Sizes)</t>
        </is>
      </c>
      <c r="C16" s="7" t="inlineStr">
        <is>
          <t>_select_inventory_heatmap_columns() — finds most common sizes across all brands</t>
        </is>
      </c>
      <c r="D16" s="9" t="inlineStr">
        <is>
          <t>product_sizes table</t>
        </is>
      </c>
      <c r="E16" s="9" t="inlineStr">
        <is>
          <t>Counter of all size labels. Top 6 most frequent sizes become columns.</t>
        </is>
      </c>
      <c r="F16" s="9" t="inlineStr">
        <is>
          <t>Dynamic — adapts to actual size names in DB</t>
        </is>
      </c>
      <c r="G16" s="9" t="inlineStr">
        <is>
          <t>Kids DB shows children's sizes. Adult DB shows S/M/L/XL/XXL etc. Not hardcoded.</t>
        </is>
      </c>
    </row>
    <row r="17" ht="50" customHeight="1">
      <c r="A17" s="5" t="inlineStr">
        <is>
          <t>3</t>
        </is>
      </c>
      <c r="B17" s="5" t="inlineStr">
        <is>
          <t>Cell Value (units per size per brand)</t>
        </is>
      </c>
      <c r="C17" s="7" t="inlineStr">
        <is>
          <t>SUM(CASE WHEN (s.available=1 OR s.inventory_count&gt;0) THEN s.inventory_count ELSE 0 END) WHERE brand=X AND size=Y</t>
        </is>
      </c>
      <c r="D17" s="6" t="inlineStr">
        <is>
          <t>product_sizes JOIN products</t>
        </is>
      </c>
      <c r="E17" s="6" t="inlineStr">
        <is>
          <t>GROUP BY brand, size_label</t>
        </is>
      </c>
      <c r="F17" s="6" t="inlineStr">
        <is>
          <t>Integer units</t>
        </is>
      </c>
      <c r="G17" s="6" t="inlineStr">
        <is>
          <t>_get_brand_inventory_breakdown() runs this query per brand batch.</t>
        </is>
      </c>
    </row>
    <row r="18" ht="50" customHeight="1">
      <c r="A18" s="8" t="inlineStr">
        <is>
          <t>4</t>
        </is>
      </c>
      <c r="B18" s="8" t="inlineStr">
        <is>
          <t>Colour Intensity</t>
        </is>
      </c>
      <c r="C18" s="7" t="inlineStr">
        <is>
          <t>CSS gradient from white (0 units) to brand colour (max units)</t>
        </is>
      </c>
      <c r="D18" s="9" t="inlineStr">
        <is>
          <t>JS-computed</t>
        </is>
      </c>
      <c r="E18" s="9" t="inlineStr">
        <is>
          <t>max value per row determines colour scale</t>
        </is>
      </c>
      <c r="F18" s="9" t="inlineStr">
        <is>
          <t>Heat colour = units / max_in_row * 100%</t>
        </is>
      </c>
      <c r="G18" s="9" t="inlineStr">
        <is>
          <t>renderInventoryHeatmap() in app.js applies gradient using inline style.</t>
        </is>
      </c>
    </row>
  </sheetData>
  <mergeCells count="4">
    <mergeCell ref="A1:J1"/>
    <mergeCell ref="A4:J4"/>
    <mergeCell ref="A13:J1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28" customWidth="1" min="5" max="5"/>
    <col width="25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7 — ADVANCED CARDS: FABRICS, COLORS, GEOGRAPHIC DEMAND, AI INSIGHTS</t>
        </is>
      </c>
    </row>
    <row r="2" ht="18" customHeight="1">
      <c r="A2" s="2" t="inlineStr">
        <is>
          <t>Formula logic for every secondary card in the Overview dashboard  |  Source: /api/insights</t>
        </is>
      </c>
    </row>
    <row r="4" ht="20" customHeight="1">
      <c r="A4" s="12" t="inlineStr">
        <is>
          <t>▸ SECTION A — TOP FABRICS CARD (5 fabric types)</t>
        </is>
      </c>
    </row>
    <row r="5">
      <c r="A5" s="4" t="inlineStr">
        <is>
          <t>#</t>
        </is>
      </c>
      <c r="B5" s="4" t="inlineStr">
        <is>
          <t>Field</t>
        </is>
      </c>
      <c r="C5" s="4" t="inlineStr">
        <is>
          <t>SQL Logic</t>
        </is>
      </c>
      <c r="D5" s="4" t="inlineStr">
        <is>
          <t>Normalisation</t>
        </is>
      </c>
      <c r="E5" s="4" t="inlineStr">
        <is>
          <t>Top N</t>
        </is>
      </c>
      <c r="F5" s="4" t="inlineStr">
        <is>
          <t>Table</t>
        </is>
      </c>
      <c r="G5" s="4" t="inlineStr">
        <is>
          <t>Sort</t>
        </is>
      </c>
      <c r="H5" s="4" t="inlineStr">
        <is>
          <t>Display</t>
        </is>
      </c>
      <c r="I5" s="4" t="inlineStr">
        <is>
          <t>Notes</t>
        </is>
      </c>
      <c r="J5" s="4" t="inlineStr"/>
    </row>
    <row r="6" ht="55" customHeight="1">
      <c r="A6" s="5" t="inlineStr">
        <is>
          <t>1</t>
        </is>
      </c>
      <c r="B6" s="5" t="inlineStr">
        <is>
          <t>Fabric Group Name</t>
        </is>
      </c>
      <c r="C6" s="7" t="inlineStr">
        <is>
          <t>CASE WHEN POSITION('wool' IN LOWER(COALESCE(p.fabric,''))) &gt; 0 THEN 'Wool' WHEN 'silk' -&gt; 'Silk' WHEN 'satin' -&gt; 'Satin' WHEN 'rayon'/'viscose' -&gt; 'Rayon' WHEN 'oxford' -&gt; 'Oxford Cotton' WHEN 'twill' -&gt; 'Cotton Twill' WHEN 'poplin' -&gt; 'Poplin' WHEN 'flannel' -&gt; 'Flannel' WHEN 'polyester' -&gt; 'Polyester Blend' WHEN 'cotton' -&gt; '100% Cotton' ELSE 'Others'</t>
        </is>
      </c>
      <c r="D6" s="6" t="inlineStr">
        <is>
          <t>_material_bucket_sql() helper — CASE WHEN keyword match on fabric text field</t>
        </is>
      </c>
      <c r="E6" s="6" t="inlineStr">
        <is>
          <t>Keyword-in-LOWER(fabric) substring match. 'Others' is the catch-all.</t>
        </is>
      </c>
      <c r="F6" s="6" t="inlineStr">
        <is>
          <t>Top 5 by COUNT(*)</t>
        </is>
      </c>
      <c r="G6" s="6" t="inlineStr">
        <is>
          <t>products p</t>
        </is>
      </c>
      <c r="H6" s="6" t="inlineStr">
        <is>
          <t>ORDER BY cnt DESC LIMIT 5</t>
        </is>
      </c>
      <c r="I6" s="6" t="inlineStr">
        <is>
          <t>Fabric Name + count bar</t>
        </is>
      </c>
      <c r="J6" s="6" t="inlineStr">
        <is>
          <t>fabric column is a free-text string scraped from Myntra product details. Normalised by keyword matching.</t>
        </is>
      </c>
    </row>
    <row r="7" ht="55" customHeight="1">
      <c r="A7" s="8" t="inlineStr">
        <is>
          <t>2</t>
        </is>
      </c>
      <c r="B7" s="8" t="inlineStr">
        <is>
          <t>SKU Count per Fabric</t>
        </is>
      </c>
      <c r="C7" s="7" t="inlineStr">
        <is>
          <t>COUNT(*) AS cnt</t>
        </is>
      </c>
      <c r="D7" s="9" t="inlineStr">
        <is>
          <t>N/A</t>
        </is>
      </c>
      <c r="E7" s="9" t="inlineStr">
        <is>
          <t>Top 5</t>
        </is>
      </c>
      <c r="F7" s="9" t="inlineStr">
        <is>
          <t>products p</t>
        </is>
      </c>
      <c r="G7" s="9" t="inlineStr">
        <is>
          <t>N/A</t>
        </is>
      </c>
      <c r="H7" s="9" t="inlineStr">
        <is>
          <t>X,XXX SKUs</t>
        </is>
      </c>
      <c r="I7" s="9" t="inlineStr">
        <is>
          <t>Percentage = cnt / total_products * 100</t>
        </is>
      </c>
    </row>
    <row r="8" ht="55" customHeight="1">
      <c r="A8" s="5" t="inlineStr">
        <is>
          <t>3</t>
        </is>
      </c>
      <c r="B8" s="5" t="inlineStr">
        <is>
          <t>Avg Price per Fabric</t>
        </is>
      </c>
      <c r="C8" s="7" t="inlineStr">
        <is>
          <t>ROUND(AVG(COALESCE(p.selling_price,0)), 1) AS avg_price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products p</t>
        </is>
      </c>
      <c r="G8" s="6" t="inlineStr">
        <is>
          <t>N/A</t>
        </is>
      </c>
      <c r="H8" s="6" t="inlineStr">
        <is>
          <t>Rs. X,XXX</t>
        </is>
      </c>
      <c r="I8" s="6" t="inlineStr">
        <is>
          <t>Mean selling price within the fabric group.</t>
        </is>
      </c>
    </row>
    <row r="9" ht="55" customHeight="1">
      <c r="A9" s="8" t="inlineStr">
        <is>
          <t>4</t>
        </is>
      </c>
      <c r="B9" s="8" t="inlineStr">
        <is>
          <t>Avg Discount per Fabric</t>
        </is>
      </c>
      <c r="C9" s="7" t="inlineStr">
        <is>
          <t>ROUND(AVG(COALESCE(p.discount_percentage,0)), 1) AS avg_discount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products p</t>
        </is>
      </c>
      <c r="G9" s="9" t="inlineStr">
        <is>
          <t>N/A</t>
        </is>
      </c>
      <c r="H9" s="9" t="inlineStr">
        <is>
          <t>XX.X%</t>
        </is>
      </c>
      <c r="I9" s="9" t="inlineStr">
        <is>
          <t>Mean discount in that fabric group.</t>
        </is>
      </c>
    </row>
    <row r="10" ht="55" customHeight="1">
      <c r="A10" s="5" t="inlineStr">
        <is>
          <t>5</t>
        </is>
      </c>
      <c r="B10" s="5" t="inlineStr">
        <is>
          <t>Fabric Percentage</t>
        </is>
      </c>
      <c r="C10" s="7" t="inlineStr">
        <is>
          <t>cnt / total_products * 100</t>
        </is>
      </c>
      <c r="D10" s="6" t="inlineStr">
        <is>
          <t>Computed in Python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XX.X%</t>
        </is>
      </c>
      <c r="I10" s="6" t="inlineStr">
        <is>
          <t>top_fabrics[x].percentage — round to 1 decimal.</t>
        </is>
      </c>
    </row>
    <row r="12" ht="20" customHeight="1">
      <c r="A12" s="14" t="inlineStr">
        <is>
          <t>▸ SECTION B — TOP COLORS CARD (6 colors with hex swatch)</t>
        </is>
      </c>
    </row>
    <row r="13">
      <c r="A13" s="4" t="inlineStr">
        <is>
          <t>#</t>
        </is>
      </c>
      <c r="B13" s="4" t="inlineStr">
        <is>
          <t>Field</t>
        </is>
      </c>
      <c r="C13" s="4" t="inlineStr">
        <is>
          <t>SQL Formula</t>
        </is>
      </c>
      <c r="D13" s="4" t="inlineStr">
        <is>
          <t>Normalisation</t>
        </is>
      </c>
      <c r="E13" s="4" t="inlineStr">
        <is>
          <t>Top N</t>
        </is>
      </c>
      <c r="F13" s="4" t="inlineStr">
        <is>
          <t>Table</t>
        </is>
      </c>
      <c r="G13" s="4" t="inlineStr">
        <is>
          <t>Sort</t>
        </is>
      </c>
      <c r="H13" s="4" t="inlineStr">
        <is>
          <t>Display</t>
        </is>
      </c>
      <c r="I13" s="4" t="inlineStr">
        <is>
          <t>API Field</t>
        </is>
      </c>
      <c r="J13" s="4" t="inlineStr">
        <is>
          <t>Notes</t>
        </is>
      </c>
    </row>
    <row r="14" ht="45" customHeight="1">
      <c r="A14" s="5" t="inlineStr">
        <is>
          <t>1</t>
        </is>
      </c>
      <c r="B14" s="5" t="inlineStr">
        <is>
          <t>Color Name</t>
        </is>
      </c>
      <c r="C14" s="7" t="inlineStr">
        <is>
          <t>p.primary_color</t>
        </is>
      </c>
      <c r="D14" s="6" t="inlineStr">
        <is>
          <t>_normalize_color_name(): 'multi'/'multicolor'/'multi color' -&gt; 'Multicolor'. Case-lowered comparison.</t>
        </is>
      </c>
      <c r="E14" s="6" t="inlineStr">
        <is>
          <t>Top 6</t>
        </is>
      </c>
      <c r="F14" s="6" t="inlineStr">
        <is>
          <t>products p</t>
        </is>
      </c>
      <c r="G14" s="6" t="inlineStr">
        <is>
          <t>ORDER BY cnt DESC LIMIT 6</t>
        </is>
      </c>
      <c r="H14" s="6" t="inlineStr">
        <is>
          <t>Colour chip + name</t>
        </is>
      </c>
      <c r="I14" s="6" t="inlineStr">
        <is>
          <t>top_colors[x].color</t>
        </is>
      </c>
      <c r="J14" s="6" t="inlineStr">
        <is>
          <t>primary_color stored as scraped from Myntra. _normalize_color_name() standardises variants.</t>
        </is>
      </c>
    </row>
    <row r="15" ht="45" customHeight="1">
      <c r="A15" s="8" t="inlineStr">
        <is>
          <t>2</t>
        </is>
      </c>
      <c r="B15" s="8" t="inlineStr">
        <is>
          <t>Color Hex</t>
        </is>
      </c>
      <c r="C15" s="7" t="inlineStr">
        <is>
          <t>p.color_hex</t>
        </is>
      </c>
      <c r="D15" s="9" t="inlineStr">
        <is>
          <t>_normalize_color_hex(): maps color_name to known hex dict (Black='#0f172a', White='#f8fafc', etc.). Falls back to '#94a3b8' (slate) if unknown.</t>
        </is>
      </c>
      <c r="E15" s="9" t="inlineStr">
        <is>
          <t>N/A</t>
        </is>
      </c>
      <c r="F15" s="9" t="inlineStr">
        <is>
          <t>products p</t>
        </is>
      </c>
      <c r="G15" s="9" t="inlineStr">
        <is>
          <t>N/A</t>
        </is>
      </c>
      <c r="H15" s="9" t="inlineStr">
        <is>
          <t>Hex circle swatch</t>
        </is>
      </c>
      <c r="I15" s="9" t="inlineStr">
        <is>
          <t>top_colors[x].hex</t>
        </is>
      </c>
      <c r="J15" s="9" t="inlineStr">
        <is>
          <t>_valid_color_sql() filters out NULL / empty / 'multicolor' only entries from the count query.</t>
        </is>
      </c>
    </row>
    <row r="16" ht="45" customHeight="1">
      <c r="A16" s="5" t="inlineStr">
        <is>
          <t>3</t>
        </is>
      </c>
      <c r="B16" s="5" t="inlineStr">
        <is>
          <t>SKU Count</t>
        </is>
      </c>
      <c r="C16" s="7" t="inlineStr">
        <is>
          <t>COUNT(*) AS cnt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products p</t>
        </is>
      </c>
      <c r="G16" s="6" t="inlineStr">
        <is>
          <t>Primary sort</t>
        </is>
      </c>
      <c r="H16" s="6" t="inlineStr">
        <is>
          <t>X,XXX SKUs</t>
        </is>
      </c>
      <c r="I16" s="6" t="inlineStr">
        <is>
          <t>top_colors[x].count</t>
        </is>
      </c>
      <c r="J16" s="6" t="inlineStr">
        <is>
          <t>Count of products per normalised color.</t>
        </is>
      </c>
    </row>
    <row r="17" ht="45" customHeight="1">
      <c r="A17" s="8" t="inlineStr">
        <is>
          <t>4</t>
        </is>
      </c>
      <c r="B17" s="8" t="inlineStr">
        <is>
          <t>Avg Discount</t>
        </is>
      </c>
      <c r="C17" s="7" t="inlineStr">
        <is>
          <t>ROUND(AVG(COALESCE(p.discount_percentage,0)), 1)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products p</t>
        </is>
      </c>
      <c r="G17" s="9" t="inlineStr">
        <is>
          <t>N/A</t>
        </is>
      </c>
      <c r="H17" s="9" t="inlineStr">
        <is>
          <t>XX.X%</t>
        </is>
      </c>
      <c r="I17" s="9" t="inlineStr">
        <is>
          <t>top_colors[x].discount</t>
        </is>
      </c>
      <c r="J17" s="9" t="inlineStr">
        <is>
          <t>Avg discount for products in that color. High discount colors = clearance or less-desirable shades.</t>
        </is>
      </c>
    </row>
    <row r="18" ht="45" customHeight="1">
      <c r="A18" s="5" t="inlineStr">
        <is>
          <t>5</t>
        </is>
      </c>
      <c r="B18" s="5" t="inlineStr">
        <is>
          <t>Color Percentage</t>
        </is>
      </c>
      <c r="C18" s="7" t="inlineStr">
        <is>
          <t>cnt / total_products * 100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XX.X%</t>
        </is>
      </c>
      <c r="I18" s="6" t="inlineStr">
        <is>
          <t>top_colors[x].percentage</t>
        </is>
      </c>
      <c r="J18" s="6" t="inlineStr">
        <is>
          <t>Share of catalog in this color.</t>
        </is>
      </c>
    </row>
    <row r="20" ht="20" customHeight="1">
      <c r="A20" s="15" t="inlineStr">
        <is>
          <t>▸ SECTION C — GEOGRAPHIC DEMAND DISTRIBUTION (city % cards)</t>
        </is>
      </c>
    </row>
    <row r="21">
      <c r="A21" s="4" t="inlineStr">
        <is>
          <t>#</t>
        </is>
      </c>
      <c r="B21" s="4" t="inlineStr">
        <is>
          <t>City</t>
        </is>
      </c>
      <c r="C21" s="4" t="inlineStr">
        <is>
          <t>Base Share %</t>
        </is>
      </c>
      <c r="D21" s="4" t="inlineStr">
        <is>
          <t>Hash Variation Formula</t>
        </is>
      </c>
      <c r="E21" s="4" t="inlineStr">
        <is>
          <t>Units Formula</t>
        </is>
      </c>
      <c r="F21" s="4" t="inlineStr">
        <is>
          <t>Demand Index Formula</t>
        </is>
      </c>
      <c r="G21" s="4" t="inlineStr">
        <is>
          <t>Important Note</t>
        </is>
      </c>
      <c r="H21" s="4" t="inlineStr"/>
      <c r="I21" s="4" t="inlineStr"/>
      <c r="J21" s="4" t="inlineStr"/>
    </row>
    <row r="22" ht="50" customHeight="1">
      <c r="A22" s="5" t="inlineStr">
        <is>
          <t>1</t>
        </is>
      </c>
      <c r="B22" s="5" t="inlineStr">
        <is>
          <t>Bengaluru (South Hub)</t>
        </is>
      </c>
      <c r="C22" s="6" t="inlineStr">
        <is>
          <t>34.5%</t>
        </is>
      </c>
      <c r="D22" s="6" t="inlineStr">
        <is>
          <t>34.5 + (b_hash % 5) - 2 where b_hash = sum(ord(c) for c in brand_or_category_string) % 10</t>
        </is>
      </c>
      <c r="E22" s="6" t="inlineStr">
        <is>
          <t>total_warehouse_units * (adjusted_share / sum_of_all_shares)</t>
        </is>
      </c>
      <c r="F22" s="6" t="inlineStr">
        <is>
          <t>share_pct * 1.2</t>
        </is>
      </c>
      <c r="G22" s="16" t="inlineStr">
        <is>
          <t>ESTIMATED — NOT REAL WAREHOUSE DATA. This is a heuristic approximation, not actual geographic sales data.</t>
        </is>
      </c>
    </row>
    <row r="23" ht="50" customHeight="1">
      <c r="A23" s="8" t="inlineStr">
        <is>
          <t>2</t>
        </is>
      </c>
      <c r="B23" s="8" t="inlineStr">
        <is>
          <t>Delhi-NCR (North Hub)</t>
        </is>
      </c>
      <c r="C23" s="9" t="inlineStr">
        <is>
          <t>28.2%</t>
        </is>
      </c>
      <c r="D23" s="9" t="inlineStr">
        <is>
          <t>28.2 - (b_hash % 4) + 1</t>
        </is>
      </c>
      <c r="E23" s="9" t="inlineStr">
        <is>
          <t>Same proportional formula</t>
        </is>
      </c>
      <c r="F23" s="9" t="inlineStr">
        <is>
          <t>share_pct * 1.2</t>
        </is>
      </c>
      <c r="G23" s="16" t="inlineStr">
        <is>
          <t>ESTIMATED. The hash creates slight variations per brand/category to make it look dynamic but it is pseudo-random.</t>
        </is>
      </c>
    </row>
    <row r="24" ht="50" customHeight="1">
      <c r="A24" s="5" t="inlineStr">
        <is>
          <t>3</t>
        </is>
      </c>
      <c r="B24" s="5" t="inlineStr">
        <is>
          <t>Mumbai (West Hub)</t>
        </is>
      </c>
      <c r="C24" s="6" t="inlineStr">
        <is>
          <t>21.6%</t>
        </is>
      </c>
      <c r="D24" s="6" t="inlineStr">
        <is>
          <t>21.6 + (b_hash % 3) - 1</t>
        </is>
      </c>
      <c r="E24" s="6" t="inlineStr">
        <is>
          <t>Same formula</t>
        </is>
      </c>
      <c r="F24" s="6" t="inlineStr">
        <is>
          <t>share_pct * 1.2</t>
        </is>
      </c>
      <c r="G24" s="16" t="inlineStr">
        <is>
          <t>ESTIMATED. Proportions normalised after adding hash noise so they always sum to 100%.</t>
        </is>
      </c>
    </row>
    <row r="25" ht="50" customHeight="1">
      <c r="A25" s="8" t="inlineStr">
        <is>
          <t>4</t>
        </is>
      </c>
      <c r="B25" s="8" t="inlineStr">
        <is>
          <t>Kolkata (East Hub)</t>
        </is>
      </c>
      <c r="C25" s="9" t="inlineStr">
        <is>
          <t>9.4%</t>
        </is>
      </c>
      <c r="D25" s="9" t="inlineStr">
        <is>
          <t>9.4 - (b_hash % 2)</t>
        </is>
      </c>
      <c r="E25" s="9" t="inlineStr">
        <is>
          <t>Same formula</t>
        </is>
      </c>
      <c r="F25" s="9" t="inlineStr">
        <is>
          <t>share_pct * 1.2</t>
        </is>
      </c>
      <c r="G25" s="16" t="inlineStr">
        <is>
          <t>ESTIMATED. Smallest share — represents East India fashion demand approximation.</t>
        </is>
      </c>
    </row>
    <row r="26" ht="50" customHeight="1">
      <c r="A26" s="5" t="inlineStr">
        <is>
          <t>5</t>
        </is>
      </c>
      <c r="B26" s="5" t="inlineStr">
        <is>
          <t>Tirupur / Surat (Textile Hub)</t>
        </is>
      </c>
      <c r="C26" s="6" t="inlineStr">
        <is>
          <t>6.3%</t>
        </is>
      </c>
      <c r="D26" s="6" t="inlineStr">
        <is>
          <t>6.3 + (b_hash % 2)</t>
        </is>
      </c>
      <c r="E26" s="6" t="inlineStr">
        <is>
          <t>Same formula</t>
        </is>
      </c>
      <c r="F26" s="6" t="inlineStr">
        <is>
          <t>share_pct * 1.2</t>
        </is>
      </c>
      <c r="G26" s="16" t="inlineStr">
        <is>
          <t>ESTIMATED. Represents manufacturing/textile hub demand signal, not consumer demand.</t>
        </is>
      </c>
    </row>
    <row r="28" ht="20" customHeight="1">
      <c r="A28" s="17" t="inlineStr">
        <is>
          <t>▸ SECTION D — AI MARKET INSIGHTS CARDS (4 text insight cards)</t>
        </is>
      </c>
    </row>
    <row r="29">
      <c r="A29" s="4" t="inlineStr">
        <is>
          <t>#</t>
        </is>
      </c>
      <c r="B29" s="4" t="inlineStr">
        <is>
          <t>Card Title Template</t>
        </is>
      </c>
      <c r="C29" s="4" t="inlineStr">
        <is>
          <t>Description Template</t>
        </is>
      </c>
      <c r="D29" s="4" t="inlineStr">
        <is>
          <t>Data Sources Used</t>
        </is>
      </c>
      <c r="E29" s="4" t="inlineStr">
        <is>
          <t>Logic</t>
        </is>
      </c>
      <c r="F29" s="4" t="inlineStr">
        <is>
          <t>Empty State Text</t>
        </is>
      </c>
      <c r="G29" s="4" t="inlineStr">
        <is>
          <t>API Field</t>
        </is>
      </c>
      <c r="H29" s="4" t="inlineStr">
        <is>
          <t>Notes</t>
        </is>
      </c>
      <c r="I29" s="4" t="inlineStr"/>
      <c r="J29" s="4" t="inlineStr"/>
    </row>
    <row r="30" ht="55" customHeight="1">
      <c r="A30" s="5" t="inlineStr">
        <is>
          <t>1</t>
        </is>
      </c>
      <c r="B30" s="5" t="inlineStr">
        <is>
          <t>'Discount Leader: [deepest_brand]'</t>
        </is>
      </c>
      <c r="C30" s="6" t="inlineStr">
        <is>
          <t>'Highest markdown activity at [deepest_disc]% OFF detected across [deepest_cat] styles.'</t>
        </is>
      </c>
      <c r="D30" s="7" t="inlineStr">
        <is>
          <t>top_disc_row from products ordered by discount_percentage DESC LIMIT 1 WHERE is_in_stock=1</t>
        </is>
      </c>
      <c r="E30" s="6" t="inlineStr">
        <is>
          <t>Finds the single product with highest discount_percentage in scope. Uses its brand as 'Discount Leader'.</t>
        </is>
      </c>
      <c r="F30" s="6" t="inlineStr">
        <is>
          <t>'Catalog Awaiting Data' — shown when total_products = 0</t>
        </is>
      </c>
      <c r="G30" s="6" t="inlineStr">
        <is>
          <t>ai_market_insights[0]</t>
        </is>
      </c>
      <c r="H30" s="6" t="inlineStr">
        <is>
          <t>deepest_disc = top_disc_row[1] = the actual discount_percentage of that product.</t>
        </is>
      </c>
    </row>
    <row r="31" ht="55" customHeight="1">
      <c r="A31" s="8" t="inlineStr">
        <is>
          <t>2</t>
        </is>
      </c>
      <c r="B31" s="8" t="inlineStr">
        <is>
          <t>'Volume Driver: [lead_cat]'</t>
        </is>
      </c>
      <c r="C31" s="9" t="inlineStr">
        <is>
          <t>'[lead_cat_cnt] active catalog SKUs leading inventory volume with median price Rs.[lead_cat_median].'</t>
        </is>
      </c>
      <c r="D31" s="7" t="inlineStr">
        <is>
          <t>category_comparison — finds max(count) subcategory</t>
        </is>
      </c>
      <c r="E31" s="9" t="inlineStr">
        <is>
          <t>lead_cat = subcategory with most SKUs. lead_cat_cnt = its count. lead_cat_median = its avg_price (median used if available).</t>
        </is>
      </c>
      <c r="F31" s="9" t="inlineStr">
        <is>
          <t>'Category Signals Pending'</t>
        </is>
      </c>
      <c r="G31" s="9" t="inlineStr">
        <is>
          <t>ai_market_insights[1]</t>
        </is>
      </c>
      <c r="H31" s="9" t="inlineStr">
        <is>
          <t>max(category_comparison.items(), key=lambda x: x[1]['count']) finds the largest subcategory.</t>
        </is>
      </c>
    </row>
    <row r="32" ht="55" customHeight="1">
      <c r="A32" s="5" t="inlineStr">
        <is>
          <t>3</t>
        </is>
      </c>
      <c r="B32" s="5" t="inlineStr">
        <is>
          <t>'Premium Positioning: [prem_brand]'</t>
        </is>
      </c>
      <c r="C32" s="6" t="inlineStr">
        <is>
          <t>'Maintains top-tier median price Rs.[prem_median] with [prem_disc]% avg discount.'</t>
        </is>
      </c>
      <c r="D32" s="7" t="inlineStr">
        <is>
          <t>brand_matrix_rows — brand with highest mean_price from top 25 brands</t>
        </is>
      </c>
      <c r="E32" s="6" t="inlineStr">
        <is>
          <t>prem_candidate = max(top_brands, key=lambda b: b['avg_price']). prem_brand = its brand name.</t>
        </is>
      </c>
      <c r="F32" s="6" t="inlineStr">
        <is>
          <t>'Price Benchmarks Pending'</t>
        </is>
      </c>
      <c r="G32" s="6" t="inlineStr">
        <is>
          <t>ai_market_insights[2]</t>
        </is>
      </c>
      <c r="H32" s="6" t="inlineStr">
        <is>
          <t>premium_brand_row uses PERCENTILE_CONT(0.5) for median per brand from a separate brands query.</t>
        </is>
      </c>
    </row>
    <row r="33" ht="55" customHeight="1">
      <c r="A33" s="8" t="inlineStr">
        <is>
          <t>4</t>
        </is>
      </c>
      <c r="B33" s="8" t="inlineStr">
        <is>
          <t>'Inventory &amp; Stock Health'</t>
        </is>
      </c>
      <c r="C33" s="9" t="inlineStr">
        <is>
          <t>'[in_stock_products] styles in stock ([in_stock_pct]%) across [total_warehouse_units] live warehouse units.'</t>
        </is>
      </c>
      <c r="D33" s="7" t="inlineStr">
        <is>
          <t>in_stock + total_products + total_warehouse_units from main combined query</t>
        </is>
      </c>
      <c r="E33" s="9" t="inlineStr">
        <is>
          <t>Simple substitution of KPI values into template string.</t>
        </is>
      </c>
      <c r="F33" s="9" t="inlineStr">
        <is>
          <t>'Inventory Intelligence Pending'</t>
        </is>
      </c>
      <c r="G33" s="9" t="inlineStr">
        <is>
          <t>ai_market_insights[3]</t>
        </is>
      </c>
      <c r="H33" s="9" t="inlineStr">
        <is>
          <t>Always the 4th card. Most reliable — directly from live KPIs.</t>
        </is>
      </c>
    </row>
  </sheetData>
  <mergeCells count="6">
    <mergeCell ref="A1:J1"/>
    <mergeCell ref="A12:J12"/>
    <mergeCell ref="A4:J4"/>
    <mergeCell ref="A20:J20"/>
    <mergeCell ref="A2:J2"/>
    <mergeCell ref="A28:J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0" customWidth="1" min="4" max="4"/>
    <col width="28" customWidth="1" min="5" max="5"/>
    <col width="25" customWidth="1" min="6" max="6"/>
    <col width="22" customWidth="1" min="7" max="7"/>
    <col width="20" customWidth="1" min="8" max="8"/>
    <col width="20" customWidth="1" min="9" max="9"/>
    <col width="15" customWidth="1" min="10" max="10"/>
  </cols>
  <sheetData>
    <row r="1" ht="36" customHeight="1">
      <c r="A1" s="1" t="inlineStr">
        <is>
          <t>SHEET 8 — BEST SELLER CARDS: LOGIC FOR TOP 3 PRODUCT CARDS</t>
        </is>
      </c>
    </row>
    <row r="2" ht="18" customHeight="1">
      <c r="A2" s="2" t="inlineStr">
        <is>
          <t>How the 3 product cards (Best Sellers) are selected, ranked, and what each field shows</t>
        </is>
      </c>
    </row>
    <row r="4" ht="20" customHeight="1">
      <c r="A4" s="18" t="inlineStr">
        <is>
          <t>▸ SECTION A — TOP 3 BEST SELLER PRODUCT SELECTION LOGIC</t>
        </is>
      </c>
    </row>
    <row r="5">
      <c r="A5" s="4" t="inlineStr">
        <is>
          <t>#</t>
        </is>
      </c>
      <c r="B5" s="4" t="inlineStr">
        <is>
          <t>Logic Step</t>
        </is>
      </c>
      <c r="C5" s="4" t="inlineStr">
        <is>
          <t>SQL / Code</t>
        </is>
      </c>
      <c r="D5" s="4" t="inlineStr">
        <is>
          <t>Priority Criteria</t>
        </is>
      </c>
      <c r="E5" s="4" t="inlineStr">
        <is>
          <t>Fallback</t>
        </is>
      </c>
      <c r="F5" s="4" t="inlineStr">
        <is>
          <t>Table</t>
        </is>
      </c>
      <c r="G5" s="4" t="inlineStr">
        <is>
          <t>Output</t>
        </is>
      </c>
      <c r="H5" s="4" t="inlineStr">
        <is>
          <t>Notes</t>
        </is>
      </c>
      <c r="I5" s="4" t="inlineStr"/>
      <c r="J5" s="4" t="inlineStr"/>
    </row>
    <row r="6" ht="55" customHeight="1">
      <c r="A6" s="5" t="inlineStr">
        <is>
          <t>1</t>
        </is>
      </c>
      <c r="B6" s="5" t="inlineStr">
        <is>
          <t>PRIMARY: High-rated in-stock products</t>
        </is>
      </c>
      <c r="C6" s="7" t="inlineStr">
        <is>
          <t>SELECT * FROM products WHERE is_in_stock=1 AND total_ratings_count &gt;= 30 AND average_rating &gt;= 4.0 ORDER BY total_ratings_count DESC, average_rating DESC, selling_price DESC LIMIT 15</t>
        </is>
      </c>
      <c r="D6" s="6" t="inlineStr">
        <is>
          <t>1st: total_ratings_count DESC, 2nd: average_rating DESC, 3rd: selling_price DESC</t>
        </is>
      </c>
      <c r="E6" s="6" t="inlineStr">
        <is>
          <t>If &lt; 3 results, use fallback</t>
        </is>
      </c>
      <c r="F6" s="6" t="inlineStr">
        <is>
          <t>products p</t>
        </is>
      </c>
      <c r="G6" s="6" t="inlineStr">
        <is>
          <t>Up to 15 candidates</t>
        </is>
      </c>
      <c r="H6" s="6" t="inlineStr">
        <is>
          <t>Rating threshold: &gt;= 4.0 stars AND &gt;= 30 ratings. Ensures statistically significant reviews.</t>
        </is>
      </c>
    </row>
    <row r="7" ht="55" customHeight="1">
      <c r="A7" s="8" t="inlineStr">
        <is>
          <t>2</t>
        </is>
      </c>
      <c r="B7" s="8" t="inlineStr">
        <is>
          <t>FALLBACK: Any in-stock products</t>
        </is>
      </c>
      <c r="C7" s="7" t="inlineStr">
        <is>
          <t>SELECT * FROM products WHERE is_in_stock=1 ORDER BY total_ratings_count DESC, average_rating DESC, selling_price DESC LIMIT 15</t>
        </is>
      </c>
      <c r="D7" s="9" t="inlineStr">
        <is>
          <t>Same priority criteria but no rating threshold</t>
        </is>
      </c>
      <c r="E7" s="9" t="inlineStr">
        <is>
          <t>N/A</t>
        </is>
      </c>
      <c r="F7" s="9" t="inlineStr">
        <is>
          <t>products p</t>
        </is>
      </c>
      <c r="G7" s="9" t="inlineStr">
        <is>
          <t>Up to 15 candidates</t>
        </is>
      </c>
      <c r="H7" s="9" t="inlineStr">
        <is>
          <t>Used when fewer than 3 products meet the 4.0+/30+ criteria. Common for new or niche categories.</t>
        </is>
      </c>
    </row>
    <row r="8" ht="55" customHeight="1">
      <c r="A8" s="5" t="inlineStr">
        <is>
          <t>3</t>
        </is>
      </c>
      <c r="B8" s="5" t="inlineStr">
        <is>
          <t>DEDUP: Remove duplicate brand+title combos</t>
        </is>
      </c>
      <c r="C8" s="7" t="inlineStr">
        <is>
          <t>dedupe_key = (brand.lower().strip(), title.lower().strip()) — skip if already seen</t>
        </is>
      </c>
      <c r="D8" s="6" t="inlineStr">
        <is>
          <t>First occurrence wins</t>
        </is>
      </c>
      <c r="E8" s="6" t="inlineStr">
        <is>
          <t>N/A</t>
        </is>
      </c>
      <c r="F8" s="6" t="inlineStr">
        <is>
          <t>Python in-memory</t>
        </is>
      </c>
      <c r="G8" s="6" t="inlineStr">
        <is>
          <t>3 unique products</t>
        </is>
      </c>
      <c r="H8" s="6" t="inlineStr">
        <is>
          <t>Prevents showing same product twice if it appears under different product_ids.</t>
        </is>
      </c>
    </row>
    <row r="9" ht="55" customHeight="1">
      <c r="A9" s="8" t="inlineStr">
        <is>
          <t>4</t>
        </is>
      </c>
      <c r="B9" s="8" t="inlineStr">
        <is>
          <t>IMAGE: Load primary image from full_data_json</t>
        </is>
      </c>
      <c r="C9" s="7" t="inlineStr">
        <is>
          <t>SELECT product_id, full_data_json FROM products WHERE product_id IN (p1, p2, p3)</t>
        </is>
      </c>
      <c r="D9" s="9" t="inlineStr">
        <is>
          <t>N/A</t>
        </is>
      </c>
      <c r="E9" s="9" t="inlineStr">
        <is>
          <t>Empty string if no image</t>
        </is>
      </c>
      <c r="F9" s="9" t="inlineStr">
        <is>
          <t>products p</t>
        </is>
      </c>
      <c r="G9" s="9" t="inlineStr">
        <is>
          <t>Image URL string</t>
        </is>
      </c>
      <c r="H9" s="9" t="inlineStr">
        <is>
          <t>_load_primary_image() parses full_data_json['media']['albums'][0]['images'][0]['secureSrc']</t>
        </is>
      </c>
    </row>
    <row r="11" ht="20" customHeight="1">
      <c r="A11" s="19" t="inlineStr">
        <is>
          <t>▸ SECTION B — EACH FIELD IN THE PRODUCT CARD</t>
        </is>
      </c>
    </row>
    <row r="12">
      <c r="A12" s="4" t="inlineStr">
        <is>
          <t>#</t>
        </is>
      </c>
      <c r="B12" s="4" t="inlineStr">
        <is>
          <t>Card Field Label</t>
        </is>
      </c>
      <c r="C12" s="4" t="inlineStr">
        <is>
          <t>DB Column</t>
        </is>
      </c>
      <c r="D12" s="4" t="inlineStr">
        <is>
          <t>Value Source</t>
        </is>
      </c>
      <c r="E12" s="4" t="inlineStr">
        <is>
          <t>Display Format</t>
        </is>
      </c>
      <c r="F12" s="4" t="inlineStr">
        <is>
          <t>Notes</t>
        </is>
      </c>
      <c r="G12" s="4" t="inlineStr"/>
      <c r="H12" s="4" t="inlineStr"/>
      <c r="I12" s="4" t="inlineStr"/>
      <c r="J12" s="4" t="inlineStr"/>
    </row>
    <row r="13" ht="35" customHeight="1">
      <c r="A13" s="5" t="inlineStr">
        <is>
          <t>1</t>
        </is>
      </c>
      <c r="B13" s="5" t="inlineStr">
        <is>
          <t>Brand Name</t>
        </is>
      </c>
      <c r="C13" s="20" t="inlineStr">
        <is>
          <t>p.brand</t>
        </is>
      </c>
      <c r="D13" s="6" t="inlineStr">
        <is>
          <t>Direct column</t>
        </is>
      </c>
      <c r="E13" s="6" t="inlineStr">
        <is>
          <t>Text string</t>
        </is>
      </c>
      <c r="F13" s="6" t="inlineStr">
        <is>
          <t>Shown at top of card in bold.</t>
        </is>
      </c>
    </row>
    <row r="14" ht="35" customHeight="1">
      <c r="A14" s="8" t="inlineStr">
        <is>
          <t>2</t>
        </is>
      </c>
      <c r="B14" s="8" t="inlineStr">
        <is>
          <t>Product Title</t>
        </is>
      </c>
      <c r="C14" s="20" t="inlineStr">
        <is>
          <t>p.title</t>
        </is>
      </c>
      <c r="D14" s="9" t="inlineStr">
        <is>
          <t>Direct column</t>
        </is>
      </c>
      <c r="E14" s="9" t="inlineStr">
        <is>
          <t>Truncated to ~2 lines</t>
        </is>
      </c>
      <c r="F14" s="9" t="inlineStr">
        <is>
          <t>Full title stored as scraped from Myntra.</t>
        </is>
      </c>
    </row>
    <row r="15" ht="35" customHeight="1">
      <c r="A15" s="5" t="inlineStr">
        <is>
          <t>3</t>
        </is>
      </c>
      <c r="B15" s="5" t="inlineStr">
        <is>
          <t>Selling Price</t>
        </is>
      </c>
      <c r="C15" s="20" t="inlineStr">
        <is>
          <t>p.selling_price</t>
        </is>
      </c>
      <c r="D15" s="6" t="inlineStr">
        <is>
          <t>Direct column</t>
        </is>
      </c>
      <c r="E15" s="6" t="inlineStr">
        <is>
          <t>Rs. X,XXX</t>
        </is>
      </c>
      <c r="F15" s="6" t="inlineStr">
        <is>
          <t>Current live price at time of scrape.</t>
        </is>
      </c>
    </row>
    <row r="16" ht="35" customHeight="1">
      <c r="A16" s="8" t="inlineStr">
        <is>
          <t>4</t>
        </is>
      </c>
      <c r="B16" s="8" t="inlineStr">
        <is>
          <t>MRP</t>
        </is>
      </c>
      <c r="C16" s="20" t="inlineStr">
        <is>
          <t>p.mrp (or selling_price if mrp=0)</t>
        </is>
      </c>
      <c r="D16" s="9" t="inlineStr">
        <is>
          <t>COALESCE(NULLIF(p.mrp,0), p.selling_price)</t>
        </is>
      </c>
      <c r="E16" s="9" t="inlineStr">
        <is>
          <t>Rs. X,XXX (strikethrough)</t>
        </is>
      </c>
      <c r="F16" s="9" t="inlineStr">
        <is>
          <t>NULLIF(mrp,0) handles products where MRP stored as 0 — falls back to selling_price.</t>
        </is>
      </c>
    </row>
    <row r="17" ht="35" customHeight="1">
      <c r="A17" s="5" t="inlineStr">
        <is>
          <t>5</t>
        </is>
      </c>
      <c r="B17" s="5" t="inlineStr">
        <is>
          <t>Discount %</t>
        </is>
      </c>
      <c r="C17" s="20" t="inlineStr">
        <is>
          <t>p.discount_percentage</t>
        </is>
      </c>
      <c r="D17" s="6" t="inlineStr">
        <is>
          <t>Pre-computed column</t>
        </is>
      </c>
      <c r="E17" s="6" t="inlineStr">
        <is>
          <t>XX% OFF</t>
        </is>
      </c>
      <c r="F17" s="6" t="inlineStr">
        <is>
          <t>Stored at scrape time as (mrp-selling_price)/mrp*100. Not re-computed dynamically.</t>
        </is>
      </c>
    </row>
    <row r="18" ht="35" customHeight="1">
      <c r="A18" s="8" t="inlineStr">
        <is>
          <t>6</t>
        </is>
      </c>
      <c r="B18" s="8" t="inlineStr">
        <is>
          <t>Star Rating</t>
        </is>
      </c>
      <c r="C18" s="20" t="inlineStr">
        <is>
          <t>p.average_rating</t>
        </is>
      </c>
      <c r="D18" s="9" t="inlineStr">
        <is>
          <t>Direct column</t>
        </is>
      </c>
      <c r="E18" s="9" t="inlineStr">
        <is>
          <t>X.X / 5</t>
        </is>
      </c>
      <c r="F18" s="9" t="inlineStr">
        <is>
          <t>From Myntra's rating system. NULL if product has no ratings.</t>
        </is>
      </c>
    </row>
    <row r="19" ht="35" customHeight="1">
      <c r="A19" s="5" t="inlineStr">
        <is>
          <t>7</t>
        </is>
      </c>
      <c r="B19" s="5" t="inlineStr">
        <is>
          <t>Rating Count</t>
        </is>
      </c>
      <c r="C19" s="20" t="inlineStr">
        <is>
          <t>p.total_ratings_count</t>
        </is>
      </c>
      <c r="D19" s="6" t="inlineStr">
        <is>
          <t>Direct column</t>
        </is>
      </c>
      <c r="E19" s="6" t="inlineStr">
        <is>
          <t>(XX,XXX ratings)</t>
        </is>
      </c>
      <c r="F19" s="6" t="inlineStr">
        <is>
          <t>Total number of customer ratings. Different from review text count.</t>
        </is>
      </c>
    </row>
    <row r="20" ht="35" customHeight="1">
      <c r="A20" s="8" t="inlineStr">
        <is>
          <t>8</t>
        </is>
      </c>
      <c r="B20" s="8" t="inlineStr">
        <is>
          <t>Product Image</t>
        </is>
      </c>
      <c r="C20" s="20" t="inlineStr">
        <is>
          <t>full_data_json -&gt; media.albums[0].images[0].secureSrc</t>
        </is>
      </c>
      <c r="D20" s="9" t="inlineStr">
        <is>
          <t>_load_primary_image() parser</t>
        </is>
      </c>
      <c r="E20" s="9" t="inlineStr">
        <is>
          <t>&lt;img&gt; tag</t>
        </is>
      </c>
      <c r="F20" s="9" t="inlineStr">
        <is>
          <t>JSON path varies. Falls back to empty string if path missing.</t>
        </is>
      </c>
    </row>
    <row r="21" ht="35" customHeight="1">
      <c r="A21" s="5" t="inlineStr">
        <is>
          <t>9</t>
        </is>
      </c>
      <c r="B21" s="5" t="inlineStr">
        <is>
          <t>Product URL</t>
        </is>
      </c>
      <c r="C21" s="20" t="inlineStr">
        <is>
          <t>p.product_url</t>
        </is>
      </c>
      <c r="D21" s="6" t="inlineStr">
        <is>
          <t>Direct column</t>
        </is>
      </c>
      <c r="E21" s="6" t="inlineStr">
        <is>
          <t>Hyperlink to Myntra PDP</t>
        </is>
      </c>
      <c r="F21" s="6" t="inlineStr">
        <is>
          <t>Used for 'View on Myntra' button. URL scraped at time of indexing.</t>
        </is>
      </c>
    </row>
  </sheetData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45" customWidth="1" min="4" max="4"/>
    <col width="25" customWidth="1" min="5" max="5"/>
    <col width="25" customWidth="1" min="6" max="6"/>
    <col width="22" customWidth="1" min="7" max="7"/>
    <col width="18" customWidth="1" min="8" max="8"/>
    <col width="16" customWidth="1" min="9" max="9"/>
    <col width="14" customWidth="1" min="10" max="10"/>
  </cols>
  <sheetData>
    <row r="1" ht="36" customHeight="1">
      <c r="A1" s="1" t="inlineStr">
        <is>
          <t>SHEET 9 — COMPLETE API ENDPOINT REFERENCE MAP</t>
        </is>
      </c>
    </row>
    <row r="2" ht="18" customHeight="1">
      <c r="A2" s="2" t="inlineStr">
        <is>
          <t>Every API endpoint, what dashboard section uses it, its query parameters, and caching behaviour</t>
        </is>
      </c>
    </row>
    <row r="4" ht="20" customHeight="1">
      <c r="A4" s="21" t="inlineStr">
        <is>
          <t>▸ ALL ENDPOINTS — USAGE, PARAMS, CACHE TTL</t>
        </is>
      </c>
    </row>
    <row r="5">
      <c r="A5" s="4" t="inlineStr">
        <is>
          <t>#</t>
        </is>
      </c>
      <c r="B5" s="4" t="inlineStr">
        <is>
          <t>Endpoint URL</t>
        </is>
      </c>
      <c r="C5" s="4" t="inlineStr">
        <is>
          <t>Method</t>
        </is>
      </c>
      <c r="D5" s="4" t="inlineStr">
        <is>
          <t>Dashboard Section That Uses It</t>
        </is>
      </c>
      <c r="E5" s="4" t="inlineStr">
        <is>
          <t>Key Query Params</t>
        </is>
      </c>
      <c r="F5" s="4" t="inlineStr">
        <is>
          <t>Key Returned Fields</t>
        </is>
      </c>
      <c r="G5" s="4" t="inlineStr">
        <is>
          <t>Cache TTL</t>
        </is>
      </c>
      <c r="H5" s="4" t="inlineStr">
        <is>
          <t>Source Line</t>
        </is>
      </c>
      <c r="I5" s="4" t="inlineStr">
        <is>
          <t>Notes</t>
        </is>
      </c>
      <c r="J5" s="4" t="inlineStr"/>
    </row>
    <row r="6" ht="50" customHeight="1">
      <c r="A6" s="5" t="inlineStr">
        <is>
          <t>1</t>
        </is>
      </c>
      <c r="B6" s="5" t="inlineStr">
        <is>
          <t>/api/stats</t>
        </is>
      </c>
      <c r="C6" s="6" t="inlineStr">
        <is>
          <t>GET</t>
        </is>
      </c>
      <c r="D6" s="6" t="inlineStr">
        <is>
          <t>Overview KPI cards (top row), brand count, trend badges</t>
        </is>
      </c>
      <c r="E6" s="7" t="inlineStr">
        <is>
          <t>category, gender, subcategory, brand, brand_scale, price_min, price_max, brand_type</t>
        </is>
      </c>
      <c r="F6" s="6" t="inlineStr">
        <is>
          <t>total_products, total_brands, in_stock, average_price, average_mrp, average_discount, total_warehouse_units, trends{}, growth_comparison_label</t>
        </is>
      </c>
      <c r="G6" s="6" t="inlineStr">
        <is>
          <t>600s (10 min)</t>
        </is>
      </c>
      <c r="H6" s="6" t="inlineStr">
        <is>
          <t>Line 1809</t>
        </is>
      </c>
      <c r="I6" s="6" t="inlineStr">
        <is>
          <t>First call in load sequence. Stats come first for instant KPI paint.</t>
        </is>
      </c>
    </row>
    <row r="7" ht="50" customHeight="1">
      <c r="A7" s="8" t="inlineStr">
        <is>
          <t>2</t>
        </is>
      </c>
      <c r="B7" s="8" t="inlineStr">
        <is>
          <t>/api/insights/light</t>
        </is>
      </c>
      <c r="C7" s="9" t="inlineStr">
        <is>
          <t>GET</t>
        </is>
      </c>
      <c r="D7" s="9" t="inlineStr">
        <is>
          <t>Price band chart, brand scale donut, category donut, pricing metrics card (Phase 1 fast paint)</t>
        </is>
      </c>
      <c r="E7" s="7" t="inlineStr">
        <is>
          <t>Same as /api/stats + sort_by</t>
        </is>
      </c>
      <c r="F7" s="9" t="inlineStr">
        <is>
          <t>cto_pricing{median,mean,mode,p25,p75}, brand_scale_breakdown{}, price_band_distribution[], category_comparison{}, in_stock_percentage, total_warehouse_units</t>
        </is>
      </c>
      <c r="G7" s="9" t="inlineStr">
        <is>
          <t>600s</t>
        </is>
      </c>
      <c r="H7" s="9" t="inlineStr">
        <is>
          <t>Line 2163</t>
        </is>
      </c>
      <c r="I7" s="9" t="inlineStr">
        <is>
          <t>Lightweight version of /api/insights. Called in Phase 2 — after stats, before heavy insights.</t>
        </is>
      </c>
    </row>
    <row r="8" ht="50" customHeight="1">
      <c r="A8" s="5" t="inlineStr">
        <is>
          <t>3</t>
        </is>
      </c>
      <c r="B8" s="5" t="inlineStr">
        <is>
          <t>/api/insights</t>
        </is>
      </c>
      <c r="C8" s="6" t="inlineStr">
        <is>
          <t>GET</t>
        </is>
      </c>
      <c r="D8" s="6" t="inlineStr">
        <is>
          <t>ALL advanced charts: Inventory heatmap, best sellers, brand valuation, fabric, color, geographic, AI insights, brand matrix (Phase 3 full hydration)</t>
        </is>
      </c>
      <c r="E8" s="7" t="inlineStr">
        <is>
          <t>Same as above</t>
        </is>
      </c>
      <c r="F8" s="6" t="inlineStr">
        <is>
          <t>Everything in /light PLUS: brand_mix{}, discount_insights{}, top_brands[], inventory_valuation{}, heatmap_matrix[], top_colors[], top_fabrics[], geographic_demand[], ai_market_insights[], top_3_products[], brand_matrix_rows[]</t>
        </is>
      </c>
      <c r="G8" s="6" t="inlineStr">
        <is>
          <t>600s</t>
        </is>
      </c>
      <c r="H8" s="6" t="inlineStr">
        <is>
          <t>Line 2414</t>
        </is>
      </c>
      <c r="I8" s="6" t="inlineStr">
        <is>
          <t>Heaviest query — runs all sub-queries. Called last after UI is already populated from /light.</t>
        </is>
      </c>
    </row>
    <row r="9" ht="50" customHeight="1">
      <c r="A9" s="8" t="inlineStr">
        <is>
          <t>4</t>
        </is>
      </c>
      <c r="B9" s="8" t="inlineStr">
        <is>
          <t>/api/insights/facets</t>
        </is>
      </c>
      <c r="C9" s="9" t="inlineStr">
        <is>
          <t>GET</t>
        </is>
      </c>
      <c r="D9" s="9" t="inlineStr">
        <is>
          <t>Sidebar: Subcategory dropdown options, Brand search dropdown options</t>
        </is>
      </c>
      <c r="E9" s="7" t="inlineStr">
        <is>
          <t>Same filter params</t>
        </is>
      </c>
      <c r="F9" s="9" t="inlineStr">
        <is>
          <t>available_subcategories[], available_brands[], brand_scale_meta{}, cto_filter_meta{}</t>
        </is>
      </c>
      <c r="G9" s="9" t="inlineStr">
        <is>
          <t>600s</t>
        </is>
      </c>
      <c r="H9" s="9" t="inlineStr">
        <is>
          <t>Line 2155</t>
        </is>
      </c>
      <c r="I9" s="9" t="inlineStr">
        <is>
          <t>Called by scheduleCTOFacetsLoad() when filters change. Powers the dynamic dropdown content.</t>
        </is>
      </c>
    </row>
    <row r="10" ht="50" customHeight="1">
      <c r="A10" s="5" t="inlineStr">
        <is>
          <t>5</t>
        </is>
      </c>
      <c r="B10" s="5" t="inlineStr">
        <is>
          <t>/api/brands/facets</t>
        </is>
      </c>
      <c r="C10" s="6" t="inlineStr">
        <is>
          <t>GET</t>
        </is>
      </c>
      <c r="D10" s="6" t="inlineStr">
        <is>
          <t>Brand count badges on hub overview. Brand list in sidebar.</t>
        </is>
      </c>
      <c r="E10" s="7" t="inlineStr">
        <is>
          <t>category, brand_type, brand_scale</t>
        </is>
      </c>
      <c r="F10" s="6" t="inlineStr">
        <is>
          <t>brands[{brand, count}], categories{}</t>
        </is>
      </c>
      <c r="G10" s="6" t="inlineStr">
        <is>
          <t>300s</t>
        </is>
      </c>
      <c r="H10" s="6" t="inlineStr">
        <is>
          <t>Line 9558</t>
        </is>
      </c>
      <c r="I10" s="6" t="inlineStr">
        <is>
          <t>Lightweight brand list with SKU counts. Used for the brand picker in the filter sidebar.</t>
        </is>
      </c>
    </row>
    <row r="11" ht="50" customHeight="1">
      <c r="A11" s="8" t="inlineStr">
        <is>
          <t>6</t>
        </is>
      </c>
      <c r="B11" s="8" t="inlineStr">
        <is>
          <t>/api/brands</t>
        </is>
      </c>
      <c r="C11" s="9" t="inlineStr">
        <is>
          <t>GET</t>
        </is>
      </c>
      <c r="D11" s="9" t="inlineStr">
        <is>
          <t>Brand intelligence section (brand directory table with sort)</t>
        </is>
      </c>
      <c r="E11" s="7" t="inlineStr">
        <is>
          <t>Same + sort_by</t>
        </is>
      </c>
      <c r="F11" s="9" t="inlineStr">
        <is>
          <t>brands[{brand, product_count, inventory_count, avg_price, avg_discount, avg_rating, inventory_value}]</t>
        </is>
      </c>
      <c r="G11" s="9" t="inlineStr">
        <is>
          <t>300s</t>
        </is>
      </c>
      <c r="H11" s="9" t="inlineStr">
        <is>
          <t>Line 5134</t>
        </is>
      </c>
      <c r="I11" s="9" t="inlineStr">
        <is>
          <t>Used in the Brand Directory tab. Full brand metrics with sorting.</t>
        </is>
      </c>
    </row>
    <row r="12" ht="50" customHeight="1">
      <c r="A12" s="5" t="inlineStr">
        <is>
          <t>7</t>
        </is>
      </c>
      <c r="B12" s="5" t="inlineStr">
        <is>
          <t>/api/brands/comparator</t>
        </is>
      </c>
      <c r="C12" s="6" t="inlineStr">
        <is>
          <t>GET</t>
        </is>
      </c>
      <c r="D12" s="6" t="inlineStr">
        <is>
          <t>Brand Comparator tab — side-by-side brand comparison charts</t>
        </is>
      </c>
      <c r="E12" s="7" t="inlineStr">
        <is>
          <t>brand (comma-separated), category, etc.</t>
        </is>
      </c>
      <c r="F12" s="6" t="inlineStr">
        <is>
          <t>Array of brand objects with full metrics each</t>
        </is>
      </c>
      <c r="G12" s="6" t="inlineStr">
        <is>
          <t>No cache</t>
        </is>
      </c>
      <c r="H12" s="6" t="inlineStr">
        <is>
          <t>Line 5287</t>
        </is>
      </c>
      <c r="I12" s="6" t="inlineStr">
        <is>
          <t>Fetches data for each selected brand separately for the comparator view.</t>
        </is>
      </c>
    </row>
    <row r="13" ht="50" customHeight="1">
      <c r="A13" s="8" t="inlineStr">
        <is>
          <t>8</t>
        </is>
      </c>
      <c r="B13" s="8" t="inlineStr">
        <is>
          <t>/api/category-intelligence</t>
        </is>
      </c>
      <c r="C13" s="9" t="inlineStr">
        <is>
          <t>GET</t>
        </is>
      </c>
      <c r="D13" s="9" t="inlineStr">
        <is>
          <t>Category Intelligence tab (dedicated view)</t>
        </is>
      </c>
      <c r="E13" s="7" t="inlineStr">
        <is>
          <t>category, brand, etc.</t>
        </is>
      </c>
      <c r="F13" s="9" t="inlineStr">
        <is>
          <t>KPIs, brand breakdown, subcategory breakdown for the selected category</t>
        </is>
      </c>
      <c r="G13" s="9" t="inlineStr">
        <is>
          <t>600s</t>
        </is>
      </c>
      <c r="H13" s="9" t="inlineStr">
        <is>
          <t>Line 6454</t>
        </is>
      </c>
      <c r="I13" s="9" t="inlineStr">
        <is>
          <t>Used in the Category Intelligence module — separate from Overview.</t>
        </is>
      </c>
    </row>
    <row r="14" ht="50" customHeight="1">
      <c r="A14" s="5" t="inlineStr">
        <is>
          <t>9</t>
        </is>
      </c>
      <c r="B14" s="5" t="inlineStr">
        <is>
          <t>/api/analytics/daily-sales-ros</t>
        </is>
      </c>
      <c r="C14" s="6" t="inlineStr">
        <is>
          <t>GET</t>
        </is>
      </c>
      <c r="D14" s="6" t="inlineStr">
        <is>
          <t>Revenue Intelligence: ROS chart, brand GMV leaderboard</t>
        </is>
      </c>
      <c r="E14" s="7" t="inlineStr">
        <is>
          <t>brand, category, date range</t>
        </is>
      </c>
      <c r="F14" s="6" t="inlineStr">
        <is>
          <t>brands with units_sold, revenue_generated per day/week</t>
        </is>
      </c>
      <c r="G14" s="6" t="inlineStr">
        <is>
          <t>No cache</t>
        </is>
      </c>
      <c r="H14" s="6" t="inlineStr">
        <is>
          <t>Line 3949</t>
        </is>
      </c>
      <c r="I14" s="6" t="inlineStr">
        <is>
          <t>Reads daily_sales_analytics table. Only populated if sales data was scraped separately.</t>
        </is>
      </c>
    </row>
    <row r="15" ht="50" customHeight="1">
      <c r="A15" s="8" t="inlineStr">
        <is>
          <t>10</t>
        </is>
      </c>
      <c r="B15" s="8" t="inlineStr">
        <is>
          <t>/api/analytics/day-over-day</t>
        </is>
      </c>
      <c r="C15" s="9" t="inlineStr">
        <is>
          <t>GET</t>
        </is>
      </c>
      <c r="D15" s="9" t="inlineStr">
        <is>
          <t>Day-over-Day Intelligence tab</t>
        </is>
      </c>
      <c r="E15" s="7" t="inlineStr">
        <is>
          <t>brand, snapshot_date</t>
        </is>
      </c>
      <c r="F15" s="9" t="inlineStr">
        <is>
          <t>DoD comparison of inventory levels, new/removed products</t>
        </is>
      </c>
      <c r="G15" s="9" t="inlineStr">
        <is>
          <t>No cache</t>
        </is>
      </c>
      <c r="H15" s="9" t="inlineStr">
        <is>
          <t>Line 4349</t>
        </is>
      </c>
      <c r="I15" s="9" t="inlineStr">
        <is>
          <t>Compares two consecutive daily_inventory_snapshots to show stock movement.</t>
        </is>
      </c>
    </row>
    <row r="16" ht="50" customHeight="1">
      <c r="A16" s="5" t="inlineStr">
        <is>
          <t>11</t>
        </is>
      </c>
      <c r="B16" s="5" t="inlineStr">
        <is>
          <t>/api/fabric-intelligence</t>
        </is>
      </c>
      <c r="C16" s="6" t="inlineStr">
        <is>
          <t>GET</t>
        </is>
      </c>
      <c r="D16" s="6" t="inlineStr">
        <is>
          <t>Fabric Intelligence tab (detailed fabric view)</t>
        </is>
      </c>
      <c r="E16" s="7" t="inlineStr">
        <is>
          <t>brand, category</t>
        </is>
      </c>
      <c r="F16" s="6" t="inlineStr">
        <is>
          <t>Fabric breakdown with deeper metrics per fabric type</t>
        </is>
      </c>
      <c r="G16" s="6" t="inlineStr">
        <is>
          <t>600s</t>
        </is>
      </c>
      <c r="H16" s="6" t="inlineStr">
        <is>
          <t>Line 6894</t>
        </is>
      </c>
      <c r="I16" s="6" t="inlineStr">
        <is>
          <t>More detailed than the top_fabrics in /api/insights.</t>
        </is>
      </c>
    </row>
    <row r="17" ht="50" customHeight="1">
      <c r="A17" s="8" t="inlineStr">
        <is>
          <t>12</t>
        </is>
      </c>
      <c r="B17" s="8" t="inlineStr">
        <is>
          <t>/api/revenue-intelligence</t>
        </is>
      </c>
      <c r="C17" s="9" t="inlineStr">
        <is>
          <t>GET</t>
        </is>
      </c>
      <c r="D17" s="9" t="inlineStr">
        <is>
          <t>Revenue Intelligence tab</t>
        </is>
      </c>
      <c r="E17" s="7" t="inlineStr">
        <is>
          <t>brand, category, date</t>
        </is>
      </c>
      <c r="F17" s="9" t="inlineStr">
        <is>
          <t>Revenue matrix, brand revenue share, GMV charts</t>
        </is>
      </c>
      <c r="G17" s="9" t="inlineStr">
        <is>
          <t>No cache</t>
        </is>
      </c>
      <c r="H17" s="9" t="inlineStr">
        <is>
          <t>Line 7891</t>
        </is>
      </c>
      <c r="I17" s="9" t="inlineStr">
        <is>
          <t>Reads daily_sales_analytics for revenue data.</t>
        </is>
      </c>
    </row>
    <row r="18" ht="50" customHeight="1">
      <c r="A18" s="5" t="inlineStr">
        <is>
          <t>13</t>
        </is>
      </c>
      <c r="B18" s="5" t="inlineStr">
        <is>
          <t>/api/price-intelligence</t>
        </is>
      </c>
      <c r="C18" s="6" t="inlineStr">
        <is>
          <t>GET</t>
        </is>
      </c>
      <c r="D18" s="6" t="inlineStr">
        <is>
          <t>Price Intelligence tab (pricing deep-dive)</t>
        </is>
      </c>
      <c r="E18" s="7" t="inlineStr">
        <is>
          <t>brand, category, price_min, price_max</t>
        </is>
      </c>
      <c r="F18" s="6" t="inlineStr">
        <is>
          <t>Brand price matrix bubble chart data, price positioning analysis</t>
        </is>
      </c>
      <c r="G18" s="6" t="inlineStr">
        <is>
          <t>600s</t>
        </is>
      </c>
      <c r="H18" s="6" t="inlineStr">
        <is>
          <t>Line 8076</t>
        </is>
      </c>
      <c r="I18" s="6" t="inlineStr">
        <is>
          <t>Full pricing analytics for the dedicated Price Intelligence section.</t>
        </is>
      </c>
    </row>
    <row r="19" ht="50" customHeight="1">
      <c r="A19" s="8" t="inlineStr">
        <is>
          <t>14</t>
        </is>
      </c>
      <c r="B19" s="8" t="inlineStr">
        <is>
          <t>/api/analytics/color-intelligence</t>
        </is>
      </c>
      <c r="C19" s="9" t="inlineStr">
        <is>
          <t>GET</t>
        </is>
      </c>
      <c r="D19" s="9" t="inlineStr">
        <is>
          <t>Color Intelligence tab</t>
        </is>
      </c>
      <c r="E19" s="7" t="inlineStr">
        <is>
          <t>brand, category</t>
        </is>
      </c>
      <c r="F19" s="9" t="inlineStr">
        <is>
          <t>Color heatmap per brand, trend analysis</t>
        </is>
      </c>
      <c r="G19" s="9" t="inlineStr">
        <is>
          <t>600s</t>
        </is>
      </c>
      <c r="H19" s="9" t="inlineStr">
        <is>
          <t>Line 9227</t>
        </is>
      </c>
      <c r="I19" s="9" t="inlineStr">
        <is>
          <t>Detailed color breakdown beyond top_colors in /api/insights.</t>
        </is>
      </c>
    </row>
    <row r="20" ht="50" customHeight="1">
      <c r="A20" s="5" t="inlineStr">
        <is>
          <t>15</t>
        </is>
      </c>
      <c r="B20" s="5" t="inlineStr">
        <is>
          <t>/api/filter-counts</t>
        </is>
      </c>
      <c r="C20" s="6" t="inlineStr">
        <is>
          <t>GET</t>
        </is>
      </c>
      <c r="D20" s="6" t="inlineStr">
        <is>
          <t>Sidebar filter badge counts</t>
        </is>
      </c>
      <c r="E20" s="7" t="inlineStr">
        <is>
          <t>Same filter params</t>
        </is>
      </c>
      <c r="F20" s="6" t="inlineStr">
        <is>
          <t>Count of products matching current filter combination</t>
        </is>
      </c>
      <c r="G20" s="6" t="inlineStr">
        <is>
          <t>60s</t>
        </is>
      </c>
      <c r="H20" s="6" t="inlineStr">
        <is>
          <t>Line 9506</t>
        </is>
      </c>
      <c r="I20" s="6" t="inlineStr">
        <is>
          <t>Used to show 'N products match' on the Apply Filters button.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2026-09-29T10:43:41Z</dcterms:created>
  <dcterms:modified xsi:type="dcterms:W3CDTF">2026-09-29T10:43:42Z</dcterms:modified>
</cp:coreProperties>
</file>